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MICHEAL HILL\SAMPLES COSTING SHEETS\Appx costing\2026-2027\SEP-26\ANNIVERSARY BAND\"/>
    </mc:Choice>
  </mc:AlternateContent>
  <xr:revisionPtr revIDLastSave="0" documentId="13_ncr:1_{C4B3286D-600D-493C-A045-7F7492DCB24D}" xr6:coauthVersionLast="47" xr6:coauthVersionMax="47" xr10:uidLastSave="{00000000-0000-0000-0000-000000000000}"/>
  <workbookProtection workbookAlgorithmName="SHA-512" workbookHashValue="4KyTHxqLiCsWflpqBE5vIurBy9LToeSLQS7KL06yPtsBUNX6bfwZvudHVBgg/XJvpBdODhvSmGActiGJoedweA==" workbookSaltValue="3HJaPo7mwDmCf5IODcVCBg==" workbookSpinCount="100000" lockStructure="1"/>
  <bookViews>
    <workbookView xWindow="-108" yWindow="-108" windowWidth="23256" windowHeight="12456" tabRatio="858" xr2:uid="{00000000-000D-0000-FFFF-FFFF00000000}"/>
  </bookViews>
  <sheets>
    <sheet name="COST SHEET" sheetId="209" r:id="rId1"/>
    <sheet name="DATA" sheetId="210" state="hidden" r:id="rId2"/>
  </sheets>
  <definedNames>
    <definedName name="_xlnm._FilterDatabase" localSheetId="1" hidden="1">DATA!$V$2:$V$25</definedName>
    <definedName name="ACCESSORY">Table15[[#All],[ACCESSORY]]</definedName>
    <definedName name="Bangle">Table13[BANGLE]</definedName>
    <definedName name="BRACELET_ANKLET">Table19[BRACELET/ANKLET]</definedName>
    <definedName name="BUYER">Table8[BUYER]</definedName>
    <definedName name="CASTING">Table4[CASTING]</definedName>
    <definedName name="CHAIN">Table18[CHAIN]</definedName>
    <definedName name="CHAINSTYLE">Table3[CHAIN STYLE]</definedName>
    <definedName name="CHNTYPE">Table6[CHAIN TYPE]</definedName>
    <definedName name="COO_LONG_LIST">Table11[COO LONG LIST]</definedName>
    <definedName name="COO_SHORT_LIST">Table20[COO SHORT LIST]</definedName>
    <definedName name="EARRING">Table14[EARRING]</definedName>
    <definedName name="EARSTYLE">Table5[EARRING STYLE]</definedName>
    <definedName name="METAL">Table2[METAL]</definedName>
    <definedName name="PENDANT">Table17[PENDANT]</definedName>
    <definedName name="Ring">Table9[[#All],[RING]]</definedName>
    <definedName name="S.O_COLOURS">Table12[S.O COLOURS]</definedName>
    <definedName name="SETTINGDESC">Table1[SETTING DESCRIPTION]</definedName>
    <definedName name="STONESHAPE">Table7[STONE SHAPE]</definedName>
    <definedName name="STONETYPE">Table10[STONE TYPE]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" i="209" l="1"/>
  <c r="M42" i="209"/>
  <c r="M43" i="209"/>
  <c r="M44" i="209"/>
  <c r="M45" i="209"/>
  <c r="M46" i="209"/>
  <c r="M40" i="209"/>
  <c r="K56" i="209"/>
  <c r="W40" i="209" l="1"/>
  <c r="W41" i="209"/>
  <c r="W42" i="209"/>
  <c r="W43" i="209"/>
  <c r="W44" i="209"/>
  <c r="W45" i="209"/>
  <c r="W46" i="209"/>
  <c r="W47" i="209"/>
  <c r="W48" i="209"/>
  <c r="W49" i="209"/>
  <c r="W50" i="209"/>
  <c r="W51" i="209"/>
  <c r="W52" i="209"/>
  <c r="W53" i="209"/>
  <c r="W39" i="209"/>
  <c r="W34" i="209"/>
  <c r="W35" i="209"/>
  <c r="W33" i="209"/>
  <c r="G14" i="209" l="1"/>
  <c r="M50" i="209" l="1"/>
  <c r="M51" i="209"/>
  <c r="AB50" i="209"/>
  <c r="AB51" i="209"/>
  <c r="M48" i="209" l="1"/>
  <c r="M49" i="209"/>
  <c r="M52" i="209"/>
  <c r="AB52" i="209"/>
  <c r="AB49" i="209"/>
  <c r="AB48" i="209"/>
  <c r="M10" i="209" l="1"/>
  <c r="M33" i="209" l="1"/>
  <c r="C31" i="209" l="1"/>
  <c r="M35" i="209" l="1"/>
  <c r="M34" i="209"/>
  <c r="M53" i="209"/>
  <c r="M47" i="209"/>
  <c r="M39" i="209"/>
  <c r="W55" i="209" l="1"/>
  <c r="I55" i="209"/>
  <c r="AB47" i="209"/>
  <c r="AB46" i="209"/>
  <c r="I29" i="209" l="1"/>
  <c r="B22" i="209" l="1"/>
  <c r="G29" i="209" l="1"/>
  <c r="B26" i="209"/>
  <c r="B20" i="209"/>
  <c r="K20" i="209" s="1"/>
  <c r="B28" i="209"/>
  <c r="M28" i="209" s="1"/>
  <c r="B27" i="209"/>
  <c r="M27" i="209" s="1"/>
  <c r="M20" i="209" l="1"/>
  <c r="AB34" i="209" l="1"/>
  <c r="Y71" i="209" l="1"/>
  <c r="AB41" i="209" l="1"/>
  <c r="AB42" i="209"/>
  <c r="AB43" i="209"/>
  <c r="AB44" i="209"/>
  <c r="AB45" i="209"/>
  <c r="AB53" i="209"/>
  <c r="AB40" i="209"/>
  <c r="AB39" i="209"/>
  <c r="AB35" i="209" l="1"/>
  <c r="AB33" i="209"/>
  <c r="AB55" i="209" l="1"/>
  <c r="G22" i="209" l="1"/>
  <c r="Q26" i="209" s="1"/>
  <c r="B21" i="209"/>
  <c r="K21" i="209" s="1"/>
  <c r="AB62" i="209" l="1"/>
  <c r="M21" i="209"/>
  <c r="AB70" i="209" l="1"/>
  <c r="B19" i="209" l="1"/>
  <c r="K19" i="209" s="1"/>
  <c r="M19" i="209" l="1"/>
  <c r="K18" i="209"/>
  <c r="M26" i="209" s="1"/>
  <c r="G24" i="209" s="1"/>
  <c r="M18" i="209" l="1"/>
  <c r="M22" i="209" s="1"/>
  <c r="AB66" i="209" l="1"/>
  <c r="R15" i="209"/>
  <c r="M29" i="209" l="1"/>
  <c r="AB67" i="209" s="1"/>
  <c r="R18" i="209" s="1"/>
  <c r="AB68" i="209"/>
  <c r="AB69" i="209"/>
  <c r="R16" i="209" l="1"/>
  <c r="R20" i="209" s="1"/>
  <c r="AB71" i="209"/>
  <c r="R21" i="209" l="1"/>
  <c r="R14" i="20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Megan Hylton-Cummins</author>
    <author>Blake Watkin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Vendor</t>
        </r>
      </text>
    </comment>
    <comment ref="M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Customer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Image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Style Code</t>
        </r>
      </text>
    </comment>
    <comment ref="M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Buyer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SKU</t>
        </r>
      </text>
    </comment>
    <comment ref="M1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Date</t>
        </r>
      </text>
    </comment>
    <comment ref="D1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Description</t>
        </r>
      </text>
    </comment>
    <comment ref="M1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Country Of Origin</t>
        </r>
      </text>
    </comment>
    <comment ref="D13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Gold USD</t>
        </r>
      </text>
    </comment>
    <comment ref="G13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Currency</t>
        </r>
      </text>
    </comment>
    <comment ref="D14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Silver USD</t>
        </r>
      </text>
    </comment>
    <comment ref="G14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Exchange</t>
        </r>
      </text>
    </comment>
    <comment ref="R14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Total Product Cost</t>
        </r>
      </text>
    </comment>
    <comment ref="D15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Platinum USD</t>
        </r>
      </text>
    </comment>
    <comment ref="I15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MOQ Type</t>
        </r>
      </text>
    </comment>
    <comment ref="K15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MOQ Value</t>
        </r>
      </text>
    </comment>
    <comment ref="L15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MOQ Is Family</t>
        </r>
      </text>
    </comment>
    <comment ref="R15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Total Metal Cost</t>
        </r>
      </text>
    </comment>
    <comment ref="R16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Total Fixed Costs</t>
        </r>
      </text>
    </comment>
    <comment ref="B18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Metal Code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8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Metal 1</t>
        </r>
      </text>
    </comment>
    <comment ref="E18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Metal Description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8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Metal Weight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8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Metal Loss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8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Metal Price Per Gram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8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Metal Value 1</t>
        </r>
      </text>
    </comment>
    <comment ref="R18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Total Variable Costs</t>
        </r>
      </text>
    </comment>
    <comment ref="B19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Metal Code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Metal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Metal Description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9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Metal Weight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9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Metal Loss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9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Metal Price Per Gram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9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Metal Value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9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Total Other Costs</t>
        </r>
      </text>
    </comment>
    <comment ref="B20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Metal Code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Metal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Metal Description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Metal Weight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0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Metal Loss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0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Metal Price Per Gram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0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Metal Value 3</t>
        </r>
      </text>
    </comment>
    <comment ref="R20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Product Cost Subtotal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1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Metal Code 4</t>
        </r>
      </text>
    </comment>
    <comment ref="C21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Metal 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1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Metal Description 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1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Metal Weight 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1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Metal Loss 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1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Metal Price Per Gram 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1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Metal Value 4</t>
        </r>
      </text>
    </comment>
    <comment ref="Q21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RTV Percentage</t>
        </r>
      </text>
    </comment>
    <comment ref="R21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RTV Value</t>
        </r>
      </text>
    </comment>
    <comment ref="G22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Total Metal Weight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2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Total Metal Value</t>
        </r>
      </text>
    </comment>
    <comment ref="E24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Findings Pricing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5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Product Pricing Type</t>
        </r>
      </text>
    </comment>
    <comment ref="B26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Finding Metal Code 1</t>
        </r>
      </text>
    </comment>
    <comment ref="C26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Finding Metal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6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Finding Description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6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Finding Qty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6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Finding Metal Weight 1</t>
        </r>
      </text>
    </comment>
    <comment ref="K26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Finding Rate per Piece 1</t>
        </r>
      </text>
    </comment>
    <comment ref="M26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Finding Value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6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Weight Tolerance</t>
        </r>
      </text>
    </comment>
    <comment ref="B27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Finding Metal Code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7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Finding Metal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7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Finding Description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7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Finding Qty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7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Finding Metal Weight 2</t>
        </r>
      </text>
    </comment>
    <comment ref="K27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Finding Rate per Piece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7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Finding Value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8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Finding Metal Code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8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Finding Metal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8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Finding Description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8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Finding Qty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8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Finding Metal Weight 3</t>
        </r>
      </text>
    </comment>
    <comment ref="K28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Finding Rate per Piece 3</t>
        </r>
      </text>
    </comment>
    <comment ref="M28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Finding Value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8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Special Order Surcharge Unit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8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Special Order Surcharge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9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Findings Qty Total</t>
        </r>
      </text>
    </comment>
    <comment ref="I29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Findings Metal Weight Total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9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Findings Total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3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Center Stone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3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Center Stone Shape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Center Stone Grade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3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Center Stone Treatment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3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Center Stone Qty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3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Center Stone Weight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3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Center Stone Size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3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Center Stone MM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3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Center Stone Min Size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3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Center Stone Max Size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3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Center Stone Rate per Ct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3" authorId="1" shapeId="0" xr:uid="{00000000-0006-0000-0000-000060000000}">
      <text>
        <r>
          <rPr>
            <b/>
            <sz val="9"/>
            <color indexed="81"/>
            <rFont val="Tahoma"/>
            <family val="2"/>
          </rPr>
          <t xml:space="preserve">Center Stone Rate per Pc 1
</t>
        </r>
      </text>
    </comment>
    <comment ref="W33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Center Stone Value 1</t>
        </r>
      </text>
    </comment>
    <comment ref="X33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Center Stone Setting Description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3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Center Stone Setting Rate 1</t>
        </r>
      </text>
    </comment>
    <comment ref="AB33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Center Stone Setting Value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4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Center Stone 2</t>
        </r>
      </text>
    </comment>
    <comment ref="C34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Center Stone Shape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4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Center Stone Grade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4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Center Stone Treatment 2</t>
        </r>
      </text>
    </comment>
    <comment ref="I34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Center Stone Qty 2</t>
        </r>
      </text>
    </comment>
    <comment ref="K34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>Center Stone Weight 2</t>
        </r>
      </text>
    </comment>
    <comment ref="M34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Center Stone Size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4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Center Stone MM 2</t>
        </r>
      </text>
    </comment>
    <comment ref="P34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Center Stone Min Size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4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Center Stone Max Size 2</t>
        </r>
      </text>
    </comment>
    <comment ref="S34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Center Stone Rate per Ct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4" authorId="1" shapeId="0" xr:uid="{00000000-0006-0000-0000-000070000000}">
      <text>
        <r>
          <rPr>
            <b/>
            <sz val="9"/>
            <color indexed="81"/>
            <rFont val="Tahoma"/>
            <family val="2"/>
          </rPr>
          <t xml:space="preserve">Center Stone Rate per Pc 2
</t>
        </r>
      </text>
    </comment>
    <comment ref="W34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>Center Stone Value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4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Center Stone Setting Description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4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Center Stone Setting Rate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34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Center Stone Setting Value 2</t>
        </r>
      </text>
    </comment>
    <comment ref="B35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Center Stone 3</t>
        </r>
      </text>
    </comment>
    <comment ref="C35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Center Stone Shape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5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Center Stone Grade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5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Center Stone Treatment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5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Center Stone Qty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5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Center Stone Weight 3</t>
        </r>
      </text>
    </comment>
    <comment ref="M35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>Center Stone Size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5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Center Stone MM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5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Center Stone Min Size 3</t>
        </r>
      </text>
    </comment>
    <comment ref="R35" authorId="0" shapeId="0" xr:uid="{00000000-0006-0000-0000-00007E000000}">
      <text>
        <r>
          <rPr>
            <b/>
            <sz val="9"/>
            <color indexed="81"/>
            <rFont val="Tahoma"/>
            <family val="2"/>
          </rPr>
          <t>Center Stone Max Size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5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Center Stone Rate per Ct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5" authorId="1" shapeId="0" xr:uid="{00000000-0006-0000-0000-000080000000}">
      <text>
        <r>
          <rPr>
            <b/>
            <sz val="9"/>
            <color indexed="81"/>
            <rFont val="Tahoma"/>
            <family val="2"/>
          </rPr>
          <t xml:space="preserve">Center Stone Rate per Pc 3
</t>
        </r>
      </text>
    </comment>
    <comment ref="W35" authorId="0" shapeId="0" xr:uid="{00000000-0006-0000-0000-000081000000}">
      <text>
        <r>
          <rPr>
            <b/>
            <sz val="9"/>
            <color indexed="81"/>
            <rFont val="Tahoma"/>
            <family val="2"/>
          </rPr>
          <t>Center Stone Value 3</t>
        </r>
      </text>
    </comment>
    <comment ref="X35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Center Stone Setting Description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5" authorId="0" shapeId="0" xr:uid="{00000000-0006-0000-0000-000083000000}">
      <text>
        <r>
          <rPr>
            <b/>
            <sz val="9"/>
            <color indexed="81"/>
            <rFont val="Tahoma"/>
            <family val="2"/>
          </rPr>
          <t>Center Stone Setting Rate 3</t>
        </r>
      </text>
    </comment>
    <comment ref="AB35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Center Stone Setting Value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9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Side Stone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9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Side Stone Shape 1</t>
        </r>
      </text>
    </comment>
    <comment ref="E39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Side Stone Grade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9" authorId="0" shapeId="0" xr:uid="{00000000-0006-0000-0000-000088000000}">
      <text>
        <r>
          <rPr>
            <b/>
            <sz val="9"/>
            <color indexed="81"/>
            <rFont val="Tahoma"/>
            <family val="2"/>
          </rPr>
          <t>Side Stone Treatment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9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>Side Stone Qty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9" authorId="0" shapeId="0" xr:uid="{00000000-0006-0000-0000-00008A000000}">
      <text>
        <r>
          <rPr>
            <b/>
            <sz val="9"/>
            <color indexed="81"/>
            <rFont val="Tahoma"/>
            <family val="2"/>
          </rPr>
          <t>Side Stone Weight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9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Side Stone Size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9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>Side Stone MM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9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Side Stone Min Size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9" authorId="0" shapeId="0" xr:uid="{00000000-0006-0000-0000-00008E000000}">
      <text>
        <r>
          <rPr>
            <b/>
            <sz val="9"/>
            <color indexed="81"/>
            <rFont val="Tahoma"/>
            <family val="2"/>
          </rPr>
          <t>Side Stone Max Size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9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Side Stone Rate per Ct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9" authorId="1" shapeId="0" xr:uid="{00000000-0006-0000-0000-000090000000}">
      <text>
        <r>
          <rPr>
            <b/>
            <sz val="9"/>
            <color indexed="81"/>
            <rFont val="Tahoma"/>
            <family val="2"/>
          </rPr>
          <t xml:space="preserve">Side Stone Rate per Pc 1
</t>
        </r>
      </text>
    </comment>
    <comment ref="W39" authorId="0" shapeId="0" xr:uid="{00000000-0006-0000-0000-000091000000}">
      <text>
        <r>
          <rPr>
            <b/>
            <sz val="9"/>
            <color indexed="81"/>
            <rFont val="Tahoma"/>
            <family val="2"/>
          </rPr>
          <t>Side Stone Value 1</t>
        </r>
      </text>
    </comment>
    <comment ref="X39" authorId="0" shapeId="0" xr:uid="{00000000-0006-0000-0000-000092000000}">
      <text>
        <r>
          <rPr>
            <b/>
            <sz val="9"/>
            <color indexed="81"/>
            <rFont val="Tahoma"/>
            <family val="2"/>
          </rPr>
          <t>Side Stone Setting Description 1</t>
        </r>
      </text>
    </comment>
    <comment ref="AA39" authorId="0" shapeId="0" xr:uid="{00000000-0006-0000-0000-000093000000}">
      <text>
        <r>
          <rPr>
            <b/>
            <sz val="9"/>
            <color indexed="81"/>
            <rFont val="Tahoma"/>
            <family val="2"/>
          </rPr>
          <t>Side Stone setting Rate 1</t>
        </r>
      </text>
    </comment>
    <comment ref="AB39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>Side Stone Setting Value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0" authorId="0" shapeId="0" xr:uid="{00000000-0006-0000-0000-000095000000}">
      <text>
        <r>
          <rPr>
            <b/>
            <sz val="9"/>
            <color indexed="81"/>
            <rFont val="Tahoma"/>
            <family val="2"/>
          </rPr>
          <t>Side Stone 2</t>
        </r>
      </text>
    </comment>
    <comment ref="C40" authorId="0" shapeId="0" xr:uid="{00000000-0006-0000-0000-000096000000}">
      <text>
        <r>
          <rPr>
            <b/>
            <sz val="9"/>
            <color indexed="81"/>
            <rFont val="Tahoma"/>
            <family val="2"/>
          </rPr>
          <t>Side Stone Shape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0" authorId="0" shapeId="0" xr:uid="{00000000-0006-0000-0000-000097000000}">
      <text>
        <r>
          <rPr>
            <b/>
            <sz val="9"/>
            <color indexed="81"/>
            <rFont val="Tahoma"/>
            <family val="2"/>
          </rPr>
          <t>Side Stone Grade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0" authorId="0" shapeId="0" xr:uid="{00000000-0006-0000-0000-000098000000}">
      <text>
        <r>
          <rPr>
            <b/>
            <sz val="9"/>
            <color indexed="81"/>
            <rFont val="Tahoma"/>
            <family val="2"/>
          </rPr>
          <t>Side Stone Treatment 2</t>
        </r>
      </text>
    </comment>
    <comment ref="I40" authorId="0" shapeId="0" xr:uid="{00000000-0006-0000-0000-000099000000}">
      <text>
        <r>
          <rPr>
            <b/>
            <sz val="9"/>
            <color indexed="81"/>
            <rFont val="Tahoma"/>
            <family val="2"/>
          </rPr>
          <t>Side Stone Qty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0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Side Stone Weight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0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Side Stone Size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0" authorId="0" shapeId="0" xr:uid="{00000000-0006-0000-0000-00009C000000}">
      <text>
        <r>
          <rPr>
            <b/>
            <sz val="9"/>
            <color indexed="81"/>
            <rFont val="Tahoma"/>
            <family val="2"/>
          </rPr>
          <t>Side Stone MM 2</t>
        </r>
      </text>
    </comment>
    <comment ref="P40" authorId="0" shapeId="0" xr:uid="{00000000-0006-0000-0000-00009D000000}">
      <text>
        <r>
          <rPr>
            <b/>
            <sz val="9"/>
            <color indexed="81"/>
            <rFont val="Tahoma"/>
            <family val="2"/>
          </rPr>
          <t>Side Stone Min Size 2</t>
        </r>
      </text>
    </comment>
    <comment ref="R40" authorId="0" shapeId="0" xr:uid="{00000000-0006-0000-0000-00009E000000}">
      <text>
        <r>
          <rPr>
            <b/>
            <sz val="9"/>
            <color indexed="81"/>
            <rFont val="Tahoma"/>
            <family val="2"/>
          </rPr>
          <t>Side Stone Max Size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0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Side Stone Rate per Ct 2</t>
        </r>
      </text>
    </comment>
    <comment ref="V40" authorId="1" shapeId="0" xr:uid="{00000000-0006-0000-0000-0000A0000000}">
      <text>
        <r>
          <rPr>
            <b/>
            <sz val="9"/>
            <color indexed="81"/>
            <rFont val="Tahoma"/>
            <family val="2"/>
          </rPr>
          <t xml:space="preserve">Side Stone Rate per Pc 2
</t>
        </r>
      </text>
    </comment>
    <comment ref="W40" authorId="0" shapeId="0" xr:uid="{00000000-0006-0000-0000-0000A1000000}">
      <text>
        <r>
          <rPr>
            <b/>
            <sz val="9"/>
            <color indexed="81"/>
            <rFont val="Tahoma"/>
            <family val="2"/>
          </rPr>
          <t>Side Stone Value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0" authorId="0" shapeId="0" xr:uid="{00000000-0006-0000-0000-0000A2000000}">
      <text>
        <r>
          <rPr>
            <b/>
            <sz val="9"/>
            <color indexed="81"/>
            <rFont val="Tahoma"/>
            <family val="2"/>
          </rPr>
          <t>Side Stone Setting Description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40" authorId="0" shapeId="0" xr:uid="{00000000-0006-0000-0000-0000A3000000}">
      <text>
        <r>
          <rPr>
            <b/>
            <sz val="9"/>
            <color indexed="81"/>
            <rFont val="Tahoma"/>
            <family val="2"/>
          </rPr>
          <t>Side Stone setting Rate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40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Side Stone Setting Value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1" authorId="0" shapeId="0" xr:uid="{00000000-0006-0000-0000-0000A5000000}">
      <text>
        <r>
          <rPr>
            <b/>
            <sz val="9"/>
            <color indexed="81"/>
            <rFont val="Tahoma"/>
            <family val="2"/>
          </rPr>
          <t>Side Stone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1" authorId="0" shapeId="0" xr:uid="{00000000-0006-0000-0000-0000A6000000}">
      <text>
        <r>
          <rPr>
            <b/>
            <sz val="9"/>
            <color indexed="81"/>
            <rFont val="Tahoma"/>
            <family val="2"/>
          </rPr>
          <t>Side Stone Shape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1" authorId="0" shapeId="0" xr:uid="{00000000-0006-0000-0000-0000A7000000}">
      <text>
        <r>
          <rPr>
            <b/>
            <sz val="9"/>
            <color indexed="81"/>
            <rFont val="Tahoma"/>
            <family val="2"/>
          </rPr>
          <t>Side Stone Grade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1" authorId="0" shapeId="0" xr:uid="{00000000-0006-0000-0000-0000A8000000}">
      <text>
        <r>
          <rPr>
            <b/>
            <sz val="9"/>
            <color indexed="81"/>
            <rFont val="Tahoma"/>
            <family val="2"/>
          </rPr>
          <t>Side Stone Treatment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1" authorId="0" shapeId="0" xr:uid="{00000000-0006-0000-0000-0000A9000000}">
      <text>
        <r>
          <rPr>
            <b/>
            <sz val="9"/>
            <color indexed="81"/>
            <rFont val="Tahoma"/>
            <family val="2"/>
          </rPr>
          <t>Side Stone Qty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1" authorId="0" shapeId="0" xr:uid="{00000000-0006-0000-0000-0000AA000000}">
      <text>
        <r>
          <rPr>
            <b/>
            <sz val="9"/>
            <color indexed="81"/>
            <rFont val="Tahoma"/>
            <family val="2"/>
          </rPr>
          <t>Side Stone Weight 3</t>
        </r>
      </text>
    </comment>
    <comment ref="M41" authorId="0" shapeId="0" xr:uid="{00000000-0006-0000-0000-0000AB000000}">
      <text>
        <r>
          <rPr>
            <b/>
            <sz val="9"/>
            <color indexed="81"/>
            <rFont val="Tahoma"/>
            <family val="2"/>
          </rPr>
          <t>Side Stone Size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0" shapeId="0" xr:uid="{00000000-0006-0000-0000-0000AC000000}">
      <text>
        <r>
          <rPr>
            <b/>
            <sz val="9"/>
            <color indexed="81"/>
            <rFont val="Tahoma"/>
            <family val="2"/>
          </rPr>
          <t>Side Stone MM 3</t>
        </r>
      </text>
    </comment>
    <comment ref="P41" authorId="0" shapeId="0" xr:uid="{00000000-0006-0000-0000-0000AD000000}">
      <text>
        <r>
          <rPr>
            <b/>
            <sz val="9"/>
            <color indexed="81"/>
            <rFont val="Tahoma"/>
            <family val="2"/>
          </rPr>
          <t>Side Stone Min Size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1" authorId="0" shapeId="0" xr:uid="{00000000-0006-0000-0000-0000AE000000}">
      <text>
        <r>
          <rPr>
            <b/>
            <sz val="9"/>
            <color indexed="81"/>
            <rFont val="Tahoma"/>
            <family val="2"/>
          </rPr>
          <t>Side Stone Max Size 3</t>
        </r>
      </text>
    </comment>
    <comment ref="S41" authorId="0" shapeId="0" xr:uid="{00000000-0006-0000-0000-0000AF000000}">
      <text>
        <r>
          <rPr>
            <b/>
            <sz val="9"/>
            <color indexed="81"/>
            <rFont val="Tahoma"/>
            <family val="2"/>
          </rPr>
          <t>Side Stone Rate per Ct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1" authorId="1" shapeId="0" xr:uid="{00000000-0006-0000-0000-0000B0000000}">
      <text>
        <r>
          <rPr>
            <b/>
            <sz val="9"/>
            <color indexed="81"/>
            <rFont val="Tahoma"/>
            <family val="2"/>
          </rPr>
          <t xml:space="preserve">Side Stone Rate per Pc 3
</t>
        </r>
      </text>
    </comment>
    <comment ref="W41" authorId="0" shapeId="0" xr:uid="{00000000-0006-0000-0000-0000B1000000}">
      <text>
        <r>
          <rPr>
            <b/>
            <sz val="9"/>
            <color indexed="81"/>
            <rFont val="Tahoma"/>
            <family val="2"/>
          </rPr>
          <t>Side Stone Value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1" authorId="0" shapeId="0" xr:uid="{00000000-0006-0000-0000-0000B2000000}">
      <text>
        <r>
          <rPr>
            <b/>
            <sz val="9"/>
            <color indexed="81"/>
            <rFont val="Tahoma"/>
            <family val="2"/>
          </rPr>
          <t>Side Stone Setting Description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41" authorId="0" shapeId="0" xr:uid="{00000000-0006-0000-0000-0000B3000000}">
      <text>
        <r>
          <rPr>
            <b/>
            <sz val="9"/>
            <color indexed="81"/>
            <rFont val="Tahoma"/>
            <family val="2"/>
          </rPr>
          <t>Side Stone setting Rate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41" authorId="0" shapeId="0" xr:uid="{00000000-0006-0000-0000-0000B4000000}">
      <text>
        <r>
          <rPr>
            <b/>
            <sz val="9"/>
            <color indexed="81"/>
            <rFont val="Tahoma"/>
            <family val="2"/>
          </rPr>
          <t>Side Stone Setting Value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2" authorId="0" shapeId="0" xr:uid="{00000000-0006-0000-0000-0000B5000000}">
      <text>
        <r>
          <rPr>
            <b/>
            <sz val="9"/>
            <color indexed="81"/>
            <rFont val="Tahoma"/>
            <family val="2"/>
          </rPr>
          <t>Side Stone 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2" authorId="0" shapeId="0" xr:uid="{00000000-0006-0000-0000-0000B6000000}">
      <text>
        <r>
          <rPr>
            <b/>
            <sz val="9"/>
            <color indexed="81"/>
            <rFont val="Tahoma"/>
            <family val="2"/>
          </rPr>
          <t>Side Stone Shape 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2" authorId="0" shapeId="0" xr:uid="{00000000-0006-0000-0000-0000B7000000}">
      <text>
        <r>
          <rPr>
            <b/>
            <sz val="9"/>
            <color indexed="81"/>
            <rFont val="Tahoma"/>
            <family val="2"/>
          </rPr>
          <t>Side Stone Grade 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2" authorId="0" shapeId="0" xr:uid="{00000000-0006-0000-0000-0000B8000000}">
      <text>
        <r>
          <rPr>
            <b/>
            <sz val="9"/>
            <color indexed="81"/>
            <rFont val="Tahoma"/>
            <family val="2"/>
          </rPr>
          <t>Side Stone Treatment 4</t>
        </r>
      </text>
    </comment>
    <comment ref="I42" authorId="0" shapeId="0" xr:uid="{00000000-0006-0000-0000-0000B9000000}">
      <text>
        <r>
          <rPr>
            <b/>
            <sz val="9"/>
            <color indexed="81"/>
            <rFont val="Tahoma"/>
            <family val="2"/>
          </rPr>
          <t>Side Stone Qty 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2" authorId="0" shapeId="0" xr:uid="{00000000-0006-0000-0000-0000BA000000}">
      <text>
        <r>
          <rPr>
            <b/>
            <sz val="9"/>
            <color indexed="81"/>
            <rFont val="Tahoma"/>
            <family val="2"/>
          </rPr>
          <t>Side Stone Weight 4</t>
        </r>
      </text>
    </comment>
    <comment ref="M42" authorId="0" shapeId="0" xr:uid="{00000000-0006-0000-0000-0000BB000000}">
      <text>
        <r>
          <rPr>
            <b/>
            <sz val="9"/>
            <color indexed="81"/>
            <rFont val="Tahoma"/>
            <family val="2"/>
          </rPr>
          <t>Side Stone Size 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2" authorId="0" shapeId="0" xr:uid="{00000000-0006-0000-0000-0000BC000000}">
      <text>
        <r>
          <rPr>
            <b/>
            <sz val="9"/>
            <color indexed="81"/>
            <rFont val="Tahoma"/>
            <family val="2"/>
          </rPr>
          <t>Side Stone MM 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2" authorId="0" shapeId="0" xr:uid="{00000000-0006-0000-0000-0000BD000000}">
      <text>
        <r>
          <rPr>
            <b/>
            <sz val="9"/>
            <color indexed="81"/>
            <rFont val="Tahoma"/>
            <family val="2"/>
          </rPr>
          <t>Side Stone Min Size 4</t>
        </r>
      </text>
    </comment>
    <comment ref="R42" authorId="0" shapeId="0" xr:uid="{00000000-0006-0000-0000-0000BE000000}">
      <text>
        <r>
          <rPr>
            <b/>
            <sz val="9"/>
            <color indexed="81"/>
            <rFont val="Tahoma"/>
            <family val="2"/>
          </rPr>
          <t>Side Stone Max Size 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2" authorId="0" shapeId="0" xr:uid="{00000000-0006-0000-0000-0000BF000000}">
      <text>
        <r>
          <rPr>
            <b/>
            <sz val="9"/>
            <color indexed="81"/>
            <rFont val="Tahoma"/>
            <family val="2"/>
          </rPr>
          <t>Side Stone Rate per Ct 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2" authorId="1" shapeId="0" xr:uid="{00000000-0006-0000-0000-0000C0000000}">
      <text>
        <r>
          <rPr>
            <b/>
            <sz val="9"/>
            <color indexed="81"/>
            <rFont val="Tahoma"/>
            <family val="2"/>
          </rPr>
          <t xml:space="preserve">Side Stone Rate per Pc 4
</t>
        </r>
      </text>
    </comment>
    <comment ref="W42" authorId="0" shapeId="0" xr:uid="{00000000-0006-0000-0000-0000C1000000}">
      <text>
        <r>
          <rPr>
            <b/>
            <sz val="9"/>
            <color indexed="81"/>
            <rFont val="Tahoma"/>
            <family val="2"/>
          </rPr>
          <t>Side Stone Value 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2" authorId="0" shapeId="0" xr:uid="{00000000-0006-0000-0000-0000C2000000}">
      <text>
        <r>
          <rPr>
            <b/>
            <sz val="9"/>
            <color indexed="81"/>
            <rFont val="Tahoma"/>
            <family val="2"/>
          </rPr>
          <t>Side Stone Setting Description 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42" authorId="0" shapeId="0" xr:uid="{00000000-0006-0000-0000-0000C3000000}">
      <text>
        <r>
          <rPr>
            <b/>
            <sz val="9"/>
            <color indexed="81"/>
            <rFont val="Tahoma"/>
            <family val="2"/>
          </rPr>
          <t>Side Stone setting Rate 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42" authorId="0" shapeId="0" xr:uid="{00000000-0006-0000-0000-0000C4000000}">
      <text>
        <r>
          <rPr>
            <b/>
            <sz val="9"/>
            <color indexed="81"/>
            <rFont val="Tahoma"/>
            <family val="2"/>
          </rPr>
          <t>Side Stone Setting Value 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3" authorId="0" shapeId="0" xr:uid="{00000000-0006-0000-0000-0000C5000000}">
      <text>
        <r>
          <rPr>
            <b/>
            <sz val="9"/>
            <color indexed="81"/>
            <rFont val="Tahoma"/>
            <family val="2"/>
          </rPr>
          <t>Side Stone 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3" authorId="0" shapeId="0" xr:uid="{00000000-0006-0000-0000-0000C6000000}">
      <text>
        <r>
          <rPr>
            <b/>
            <sz val="9"/>
            <color indexed="81"/>
            <rFont val="Tahoma"/>
            <family val="2"/>
          </rPr>
          <t>Side Stone Shape 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3" authorId="0" shapeId="0" xr:uid="{00000000-0006-0000-0000-0000C7000000}">
      <text>
        <r>
          <rPr>
            <b/>
            <sz val="9"/>
            <color indexed="81"/>
            <rFont val="Tahoma"/>
            <family val="2"/>
          </rPr>
          <t>Side Stone Grade 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3" authorId="0" shapeId="0" xr:uid="{00000000-0006-0000-0000-0000C8000000}">
      <text>
        <r>
          <rPr>
            <b/>
            <sz val="9"/>
            <color indexed="81"/>
            <rFont val="Tahoma"/>
            <family val="2"/>
          </rPr>
          <t>Side Stone Treatment 5</t>
        </r>
      </text>
    </comment>
    <comment ref="I43" authorId="0" shapeId="0" xr:uid="{00000000-0006-0000-0000-0000C9000000}">
      <text>
        <r>
          <rPr>
            <b/>
            <sz val="9"/>
            <color indexed="81"/>
            <rFont val="Tahoma"/>
            <family val="2"/>
          </rPr>
          <t>Side Stone Qty 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3" authorId="0" shapeId="0" xr:uid="{00000000-0006-0000-0000-0000CA000000}">
      <text>
        <r>
          <rPr>
            <b/>
            <sz val="9"/>
            <color indexed="81"/>
            <rFont val="Tahoma"/>
            <family val="2"/>
          </rPr>
          <t>Side Stone Weight 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3" authorId="0" shapeId="0" xr:uid="{00000000-0006-0000-0000-0000CB000000}">
      <text>
        <r>
          <rPr>
            <b/>
            <sz val="9"/>
            <color indexed="81"/>
            <rFont val="Tahoma"/>
            <family val="2"/>
          </rPr>
          <t>Side Stone Size 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3" authorId="0" shapeId="0" xr:uid="{00000000-0006-0000-0000-0000CC000000}">
      <text>
        <r>
          <rPr>
            <b/>
            <sz val="9"/>
            <color indexed="81"/>
            <rFont val="Tahoma"/>
            <family val="2"/>
          </rPr>
          <t>Side Stone MM 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3" authorId="0" shapeId="0" xr:uid="{00000000-0006-0000-0000-0000CD000000}">
      <text>
        <r>
          <rPr>
            <b/>
            <sz val="9"/>
            <color indexed="81"/>
            <rFont val="Tahoma"/>
            <family val="2"/>
          </rPr>
          <t>Side Stone Min Size 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3" authorId="0" shapeId="0" xr:uid="{00000000-0006-0000-0000-0000CE000000}">
      <text>
        <r>
          <rPr>
            <b/>
            <sz val="9"/>
            <color indexed="81"/>
            <rFont val="Tahoma"/>
            <family val="2"/>
          </rPr>
          <t>Side Stone Max Size 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3" authorId="0" shapeId="0" xr:uid="{00000000-0006-0000-0000-0000CF000000}">
      <text>
        <r>
          <rPr>
            <b/>
            <sz val="9"/>
            <color indexed="81"/>
            <rFont val="Tahoma"/>
            <family val="2"/>
          </rPr>
          <t>Side Stone Rate per Ct 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3" authorId="1" shapeId="0" xr:uid="{00000000-0006-0000-0000-0000D0000000}">
      <text>
        <r>
          <rPr>
            <b/>
            <sz val="9"/>
            <color indexed="81"/>
            <rFont val="Tahoma"/>
            <family val="2"/>
          </rPr>
          <t xml:space="preserve">Side Stone Rate per Pc 5
</t>
        </r>
      </text>
    </comment>
    <comment ref="W43" authorId="0" shapeId="0" xr:uid="{00000000-0006-0000-0000-0000D1000000}">
      <text>
        <r>
          <rPr>
            <b/>
            <sz val="9"/>
            <color indexed="81"/>
            <rFont val="Tahoma"/>
            <family val="2"/>
          </rPr>
          <t>Side Stone Value 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3" authorId="0" shapeId="0" xr:uid="{00000000-0006-0000-0000-0000D2000000}">
      <text>
        <r>
          <rPr>
            <b/>
            <sz val="9"/>
            <color indexed="81"/>
            <rFont val="Tahoma"/>
            <family val="2"/>
          </rPr>
          <t>Side Stone Setting Description 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43" authorId="0" shapeId="0" xr:uid="{00000000-0006-0000-0000-0000D3000000}">
      <text>
        <r>
          <rPr>
            <b/>
            <sz val="9"/>
            <color indexed="81"/>
            <rFont val="Tahoma"/>
            <family val="2"/>
          </rPr>
          <t>Side Stone setting Rate 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43" authorId="0" shapeId="0" xr:uid="{00000000-0006-0000-0000-0000D4000000}">
      <text>
        <r>
          <rPr>
            <b/>
            <sz val="9"/>
            <color indexed="81"/>
            <rFont val="Tahoma"/>
            <family val="2"/>
          </rPr>
          <t>Side Stone Setting Value 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4" authorId="0" shapeId="0" xr:uid="{00000000-0006-0000-0000-0000D5000000}">
      <text>
        <r>
          <rPr>
            <b/>
            <sz val="9"/>
            <color indexed="81"/>
            <rFont val="Tahoma"/>
            <family val="2"/>
          </rPr>
          <t>Side Stone 6</t>
        </r>
      </text>
    </comment>
    <comment ref="C44" authorId="0" shapeId="0" xr:uid="{00000000-0006-0000-0000-0000D6000000}">
      <text>
        <r>
          <rPr>
            <b/>
            <sz val="9"/>
            <color indexed="81"/>
            <rFont val="Tahoma"/>
            <family val="2"/>
          </rPr>
          <t>Side Stone Shape 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4" authorId="0" shapeId="0" xr:uid="{00000000-0006-0000-0000-0000D7000000}">
      <text>
        <r>
          <rPr>
            <b/>
            <sz val="9"/>
            <color indexed="81"/>
            <rFont val="Tahoma"/>
            <family val="2"/>
          </rPr>
          <t>Side Stone Grade 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4" authorId="0" shapeId="0" xr:uid="{00000000-0006-0000-0000-0000D8000000}">
      <text>
        <r>
          <rPr>
            <b/>
            <sz val="9"/>
            <color indexed="81"/>
            <rFont val="Tahoma"/>
            <family val="2"/>
          </rPr>
          <t>Side Stone Treatment 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4" authorId="0" shapeId="0" xr:uid="{00000000-0006-0000-0000-0000D9000000}">
      <text>
        <r>
          <rPr>
            <b/>
            <sz val="9"/>
            <color indexed="81"/>
            <rFont val="Tahoma"/>
            <family val="2"/>
          </rPr>
          <t>Side Stone Qty 6</t>
        </r>
      </text>
    </comment>
    <comment ref="K44" authorId="0" shapeId="0" xr:uid="{00000000-0006-0000-0000-0000DA000000}">
      <text>
        <r>
          <rPr>
            <b/>
            <sz val="9"/>
            <color indexed="81"/>
            <rFont val="Tahoma"/>
            <family val="2"/>
          </rPr>
          <t>Side Stone Weight 6</t>
        </r>
      </text>
    </comment>
    <comment ref="M44" authorId="0" shapeId="0" xr:uid="{00000000-0006-0000-0000-0000DB000000}">
      <text>
        <r>
          <rPr>
            <b/>
            <sz val="9"/>
            <color indexed="81"/>
            <rFont val="Tahoma"/>
            <family val="2"/>
          </rPr>
          <t>Side Stone Size 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4" authorId="0" shapeId="0" xr:uid="{00000000-0006-0000-0000-0000DC000000}">
      <text>
        <r>
          <rPr>
            <b/>
            <sz val="9"/>
            <color indexed="81"/>
            <rFont val="Tahoma"/>
            <family val="2"/>
          </rPr>
          <t>Side Stone MM 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4" authorId="0" shapeId="0" xr:uid="{00000000-0006-0000-0000-0000DD000000}">
      <text>
        <r>
          <rPr>
            <b/>
            <sz val="9"/>
            <color indexed="81"/>
            <rFont val="Tahoma"/>
            <family val="2"/>
          </rPr>
          <t>Side Stone Min Size 6</t>
        </r>
      </text>
    </comment>
    <comment ref="R44" authorId="0" shapeId="0" xr:uid="{00000000-0006-0000-0000-0000DE000000}">
      <text>
        <r>
          <rPr>
            <b/>
            <sz val="9"/>
            <color indexed="81"/>
            <rFont val="Tahoma"/>
            <family val="2"/>
          </rPr>
          <t>Side Stone Max Size 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4" authorId="0" shapeId="0" xr:uid="{00000000-0006-0000-0000-0000DF000000}">
      <text>
        <r>
          <rPr>
            <b/>
            <sz val="9"/>
            <color indexed="81"/>
            <rFont val="Tahoma"/>
            <family val="2"/>
          </rPr>
          <t>Side Stone Rate per Ct 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4" authorId="1" shapeId="0" xr:uid="{00000000-0006-0000-0000-0000E0000000}">
      <text>
        <r>
          <rPr>
            <b/>
            <sz val="9"/>
            <color indexed="81"/>
            <rFont val="Tahoma"/>
            <family val="2"/>
          </rPr>
          <t xml:space="preserve">Side Stone Rate per Pc 6
</t>
        </r>
      </text>
    </comment>
    <comment ref="W44" authorId="0" shapeId="0" xr:uid="{00000000-0006-0000-0000-0000E1000000}">
      <text>
        <r>
          <rPr>
            <b/>
            <sz val="9"/>
            <color indexed="81"/>
            <rFont val="Tahoma"/>
            <family val="2"/>
          </rPr>
          <t>Side Stone Value 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4" authorId="0" shapeId="0" xr:uid="{00000000-0006-0000-0000-0000E2000000}">
      <text>
        <r>
          <rPr>
            <b/>
            <sz val="9"/>
            <color indexed="81"/>
            <rFont val="Tahoma"/>
            <family val="2"/>
          </rPr>
          <t>Side Stone Setting Description 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44" authorId="0" shapeId="0" xr:uid="{00000000-0006-0000-0000-0000E3000000}">
      <text>
        <r>
          <rPr>
            <b/>
            <sz val="9"/>
            <color indexed="81"/>
            <rFont val="Tahoma"/>
            <family val="2"/>
          </rPr>
          <t>Side Stone setting Rate 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44" authorId="0" shapeId="0" xr:uid="{00000000-0006-0000-0000-0000E4000000}">
      <text>
        <r>
          <rPr>
            <b/>
            <sz val="9"/>
            <color indexed="81"/>
            <rFont val="Tahoma"/>
            <family val="2"/>
          </rPr>
          <t>Side Stone Setting Value 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5" authorId="0" shapeId="0" xr:uid="{00000000-0006-0000-0000-0000E5000000}">
      <text>
        <r>
          <rPr>
            <b/>
            <sz val="9"/>
            <color indexed="81"/>
            <rFont val="Tahoma"/>
            <family val="2"/>
          </rPr>
          <t>Side Stone 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5" authorId="0" shapeId="0" xr:uid="{00000000-0006-0000-0000-0000E6000000}">
      <text>
        <r>
          <rPr>
            <b/>
            <sz val="9"/>
            <color indexed="81"/>
            <rFont val="Tahoma"/>
            <family val="2"/>
          </rPr>
          <t>Side Stone Shape 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5" authorId="0" shapeId="0" xr:uid="{00000000-0006-0000-0000-0000E7000000}">
      <text>
        <r>
          <rPr>
            <b/>
            <sz val="9"/>
            <color indexed="81"/>
            <rFont val="Tahoma"/>
            <family val="2"/>
          </rPr>
          <t>Side Stone Grade 7</t>
        </r>
      </text>
    </comment>
    <comment ref="G45" authorId="0" shapeId="0" xr:uid="{00000000-0006-0000-0000-0000E8000000}">
      <text>
        <r>
          <rPr>
            <b/>
            <sz val="9"/>
            <color indexed="81"/>
            <rFont val="Tahoma"/>
            <family val="2"/>
          </rPr>
          <t>Side Stone Treatment 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5" authorId="0" shapeId="0" xr:uid="{00000000-0006-0000-0000-0000E9000000}">
      <text>
        <r>
          <rPr>
            <b/>
            <sz val="9"/>
            <color indexed="81"/>
            <rFont val="Tahoma"/>
            <family val="2"/>
          </rPr>
          <t>Side Stone Qty 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5" authorId="0" shapeId="0" xr:uid="{00000000-0006-0000-0000-0000EA000000}">
      <text>
        <r>
          <rPr>
            <b/>
            <sz val="9"/>
            <color indexed="81"/>
            <rFont val="Tahoma"/>
            <family val="2"/>
          </rPr>
          <t>Side Stone Weight 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5" authorId="0" shapeId="0" xr:uid="{00000000-0006-0000-0000-0000EB000000}">
      <text>
        <r>
          <rPr>
            <b/>
            <sz val="9"/>
            <color indexed="81"/>
            <rFont val="Tahoma"/>
            <family val="2"/>
          </rPr>
          <t>Side Stone Size 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5" authorId="0" shapeId="0" xr:uid="{00000000-0006-0000-0000-0000EC000000}">
      <text>
        <r>
          <rPr>
            <b/>
            <sz val="9"/>
            <color indexed="81"/>
            <rFont val="Tahoma"/>
            <family val="2"/>
          </rPr>
          <t>Side Stone MM 7</t>
        </r>
      </text>
    </comment>
    <comment ref="P45" authorId="0" shapeId="0" xr:uid="{00000000-0006-0000-0000-0000ED000000}">
      <text>
        <r>
          <rPr>
            <b/>
            <sz val="9"/>
            <color indexed="81"/>
            <rFont val="Tahoma"/>
            <family val="2"/>
          </rPr>
          <t>Side Stone Min Size 7</t>
        </r>
      </text>
    </comment>
    <comment ref="R45" authorId="0" shapeId="0" xr:uid="{00000000-0006-0000-0000-0000EE000000}">
      <text>
        <r>
          <rPr>
            <b/>
            <sz val="9"/>
            <color indexed="81"/>
            <rFont val="Tahoma"/>
            <family val="2"/>
          </rPr>
          <t>Side Stone Max Size 7</t>
        </r>
      </text>
    </comment>
    <comment ref="S45" authorId="0" shapeId="0" xr:uid="{00000000-0006-0000-0000-0000EF000000}">
      <text>
        <r>
          <rPr>
            <b/>
            <sz val="9"/>
            <color indexed="81"/>
            <rFont val="Tahoma"/>
            <family val="2"/>
          </rPr>
          <t>Side Stone Rate per Ct 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5" authorId="1" shapeId="0" xr:uid="{00000000-0006-0000-0000-0000F0000000}">
      <text>
        <r>
          <rPr>
            <b/>
            <sz val="9"/>
            <color indexed="81"/>
            <rFont val="Tahoma"/>
            <family val="2"/>
          </rPr>
          <t xml:space="preserve">Side Stone Rate per Pc 7
</t>
        </r>
      </text>
    </comment>
    <comment ref="W45" authorId="0" shapeId="0" xr:uid="{00000000-0006-0000-0000-0000F1000000}">
      <text>
        <r>
          <rPr>
            <b/>
            <sz val="9"/>
            <color indexed="81"/>
            <rFont val="Tahoma"/>
            <family val="2"/>
          </rPr>
          <t>Side Stone Value 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5" authorId="0" shapeId="0" xr:uid="{00000000-0006-0000-0000-0000F2000000}">
      <text>
        <r>
          <rPr>
            <b/>
            <sz val="9"/>
            <color indexed="81"/>
            <rFont val="Tahoma"/>
            <family val="2"/>
          </rPr>
          <t>Side Stone Setting Description 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45" authorId="0" shapeId="0" xr:uid="{00000000-0006-0000-0000-0000F3000000}">
      <text>
        <r>
          <rPr>
            <b/>
            <sz val="9"/>
            <color indexed="81"/>
            <rFont val="Tahoma"/>
            <family val="2"/>
          </rPr>
          <t>Side Stone setting Rate 7</t>
        </r>
      </text>
    </comment>
    <comment ref="AB45" authorId="0" shapeId="0" xr:uid="{00000000-0006-0000-0000-0000F4000000}">
      <text>
        <r>
          <rPr>
            <b/>
            <sz val="9"/>
            <color indexed="81"/>
            <rFont val="Tahoma"/>
            <family val="2"/>
          </rPr>
          <t>Side Stone Setting Value 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6" authorId="0" shapeId="0" xr:uid="{00000000-0006-0000-0000-0000F5000000}">
      <text>
        <r>
          <rPr>
            <b/>
            <sz val="9"/>
            <color indexed="81"/>
            <rFont val="Tahoma"/>
            <family val="2"/>
          </rPr>
          <t>Side Stone 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6" authorId="0" shapeId="0" xr:uid="{00000000-0006-0000-0000-0000F6000000}">
      <text>
        <r>
          <rPr>
            <b/>
            <sz val="9"/>
            <color indexed="81"/>
            <rFont val="Tahoma"/>
            <family val="2"/>
          </rPr>
          <t>Side Stone Shape 8</t>
        </r>
      </text>
    </comment>
    <comment ref="E46" authorId="0" shapeId="0" xr:uid="{00000000-0006-0000-0000-0000F7000000}">
      <text>
        <r>
          <rPr>
            <b/>
            <sz val="9"/>
            <color indexed="81"/>
            <rFont val="Tahoma"/>
            <family val="2"/>
          </rPr>
          <t>Side Stone Grade 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6" authorId="0" shapeId="0" xr:uid="{00000000-0006-0000-0000-0000F8000000}">
      <text>
        <r>
          <rPr>
            <b/>
            <sz val="9"/>
            <color indexed="81"/>
            <rFont val="Tahoma"/>
            <family val="2"/>
          </rPr>
          <t>Side Stone Treatment 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6" authorId="0" shapeId="0" xr:uid="{00000000-0006-0000-0000-0000F9000000}">
      <text>
        <r>
          <rPr>
            <b/>
            <sz val="9"/>
            <color indexed="81"/>
            <rFont val="Tahoma"/>
            <family val="2"/>
          </rPr>
          <t>Side Stone Qty 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6" authorId="0" shapeId="0" xr:uid="{00000000-0006-0000-0000-0000FA000000}">
      <text>
        <r>
          <rPr>
            <b/>
            <sz val="9"/>
            <color indexed="81"/>
            <rFont val="Tahoma"/>
            <family val="2"/>
          </rPr>
          <t>Side Stone Weight 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6" authorId="0" shapeId="0" xr:uid="{00000000-0006-0000-0000-0000FB000000}">
      <text>
        <r>
          <rPr>
            <b/>
            <sz val="9"/>
            <color indexed="81"/>
            <rFont val="Tahoma"/>
            <family val="2"/>
          </rPr>
          <t>Side Stone Size 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6" authorId="0" shapeId="0" xr:uid="{00000000-0006-0000-0000-0000FC000000}">
      <text>
        <r>
          <rPr>
            <b/>
            <sz val="9"/>
            <color indexed="81"/>
            <rFont val="Tahoma"/>
            <family val="2"/>
          </rPr>
          <t>Side Stone MM 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6" authorId="0" shapeId="0" xr:uid="{00000000-0006-0000-0000-0000FD000000}">
      <text>
        <r>
          <rPr>
            <b/>
            <sz val="9"/>
            <color indexed="81"/>
            <rFont val="Tahoma"/>
            <family val="2"/>
          </rPr>
          <t>Side Stone Min Size 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6" authorId="0" shapeId="0" xr:uid="{00000000-0006-0000-0000-0000FE000000}">
      <text>
        <r>
          <rPr>
            <b/>
            <sz val="9"/>
            <color indexed="81"/>
            <rFont val="Tahoma"/>
            <family val="2"/>
          </rPr>
          <t>Side Stone Max Size 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6" authorId="0" shapeId="0" xr:uid="{00000000-0006-0000-0000-0000FF000000}">
      <text>
        <r>
          <rPr>
            <b/>
            <sz val="9"/>
            <color indexed="81"/>
            <rFont val="Tahoma"/>
            <family val="2"/>
          </rPr>
          <t>Side Stone Rate per Ct 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6" authorId="1" shapeId="0" xr:uid="{00000000-0006-0000-0000-000000010000}">
      <text>
        <r>
          <rPr>
            <b/>
            <sz val="9"/>
            <color indexed="81"/>
            <rFont val="Tahoma"/>
            <family val="2"/>
          </rPr>
          <t xml:space="preserve">Side Stone Rate per Pc 8
</t>
        </r>
      </text>
    </comment>
    <comment ref="W46" authorId="0" shapeId="0" xr:uid="{00000000-0006-0000-0000-000001010000}">
      <text>
        <r>
          <rPr>
            <b/>
            <sz val="9"/>
            <color indexed="81"/>
            <rFont val="Tahoma"/>
            <family val="2"/>
          </rPr>
          <t>Side Stone Value 8</t>
        </r>
      </text>
    </comment>
    <comment ref="X46" authorId="0" shapeId="0" xr:uid="{00000000-0006-0000-0000-000002010000}">
      <text>
        <r>
          <rPr>
            <b/>
            <sz val="9"/>
            <color indexed="81"/>
            <rFont val="Tahoma"/>
            <family val="2"/>
          </rPr>
          <t>Side Stone Setting Description 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46" authorId="0" shapeId="0" xr:uid="{00000000-0006-0000-0000-000003010000}">
      <text>
        <r>
          <rPr>
            <b/>
            <sz val="9"/>
            <color indexed="81"/>
            <rFont val="Tahoma"/>
            <family val="2"/>
          </rPr>
          <t>Side Stone Setting Rate 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46" authorId="0" shapeId="0" xr:uid="{00000000-0006-0000-0000-000004010000}">
      <text>
        <r>
          <rPr>
            <b/>
            <sz val="9"/>
            <color indexed="81"/>
            <rFont val="Tahoma"/>
            <family val="2"/>
          </rPr>
          <t>Side Stone Setting Value 8</t>
        </r>
      </text>
    </comment>
    <comment ref="B47" authorId="0" shapeId="0" xr:uid="{00000000-0006-0000-0000-000005010000}">
      <text>
        <r>
          <rPr>
            <b/>
            <sz val="9"/>
            <color indexed="81"/>
            <rFont val="Tahoma"/>
            <family val="2"/>
          </rPr>
          <t>Side Stone 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7" authorId="0" shapeId="0" xr:uid="{00000000-0006-0000-0000-000006010000}">
      <text>
        <r>
          <rPr>
            <b/>
            <sz val="9"/>
            <color indexed="81"/>
            <rFont val="Tahoma"/>
            <family val="2"/>
          </rPr>
          <t>Side Stone Shape 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7" authorId="0" shapeId="0" xr:uid="{00000000-0006-0000-0000-000007010000}">
      <text>
        <r>
          <rPr>
            <b/>
            <sz val="9"/>
            <color indexed="81"/>
            <rFont val="Tahoma"/>
            <family val="2"/>
          </rPr>
          <t>Side Stone Grade 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7" authorId="0" shapeId="0" xr:uid="{00000000-0006-0000-0000-000008010000}">
      <text>
        <r>
          <rPr>
            <b/>
            <sz val="9"/>
            <color indexed="81"/>
            <rFont val="Tahoma"/>
            <family val="2"/>
          </rPr>
          <t>Side Stone Treatment 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7" authorId="0" shapeId="0" xr:uid="{00000000-0006-0000-0000-000009010000}">
      <text>
        <r>
          <rPr>
            <b/>
            <sz val="9"/>
            <color indexed="81"/>
            <rFont val="Tahoma"/>
            <family val="2"/>
          </rPr>
          <t>Side Stone Qty 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7" authorId="0" shapeId="0" xr:uid="{00000000-0006-0000-0000-00000A010000}">
      <text>
        <r>
          <rPr>
            <b/>
            <sz val="9"/>
            <color indexed="81"/>
            <rFont val="Tahoma"/>
            <family val="2"/>
          </rPr>
          <t>Side Stone Weight 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7" authorId="0" shapeId="0" xr:uid="{00000000-0006-0000-0000-00000B010000}">
      <text>
        <r>
          <rPr>
            <b/>
            <sz val="9"/>
            <color indexed="81"/>
            <rFont val="Tahoma"/>
            <family val="2"/>
          </rPr>
          <t>Side Stone Size 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7" authorId="0" shapeId="0" xr:uid="{00000000-0006-0000-0000-00000C010000}">
      <text>
        <r>
          <rPr>
            <b/>
            <sz val="9"/>
            <color indexed="81"/>
            <rFont val="Tahoma"/>
            <family val="2"/>
          </rPr>
          <t>Side Stone MM 9</t>
        </r>
      </text>
    </comment>
    <comment ref="P47" authorId="0" shapeId="0" xr:uid="{00000000-0006-0000-0000-00000D010000}">
      <text>
        <r>
          <rPr>
            <b/>
            <sz val="9"/>
            <color indexed="81"/>
            <rFont val="Tahoma"/>
            <family val="2"/>
          </rPr>
          <t>Side Stone Min Size 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7" authorId="0" shapeId="0" xr:uid="{00000000-0006-0000-0000-00000E010000}">
      <text>
        <r>
          <rPr>
            <b/>
            <sz val="9"/>
            <color indexed="81"/>
            <rFont val="Tahoma"/>
            <family val="2"/>
          </rPr>
          <t>Side Stone Max Size 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7" authorId="0" shapeId="0" xr:uid="{00000000-0006-0000-0000-00000F010000}">
      <text>
        <r>
          <rPr>
            <b/>
            <sz val="9"/>
            <color indexed="81"/>
            <rFont val="Tahoma"/>
            <family val="2"/>
          </rPr>
          <t>Side Stone Rate per Ct 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7" authorId="1" shapeId="0" xr:uid="{00000000-0006-0000-0000-000010010000}">
      <text>
        <r>
          <rPr>
            <b/>
            <sz val="9"/>
            <color indexed="81"/>
            <rFont val="Tahoma"/>
            <family val="2"/>
          </rPr>
          <t xml:space="preserve">Side Stone Rate per Pc 9
</t>
        </r>
      </text>
    </comment>
    <comment ref="W47" authorId="0" shapeId="0" xr:uid="{00000000-0006-0000-0000-000011010000}">
      <text>
        <r>
          <rPr>
            <b/>
            <sz val="9"/>
            <color indexed="81"/>
            <rFont val="Tahoma"/>
            <family val="2"/>
          </rPr>
          <t>Side Stone Value 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7" authorId="0" shapeId="0" xr:uid="{00000000-0006-0000-0000-000012010000}">
      <text>
        <r>
          <rPr>
            <b/>
            <sz val="9"/>
            <color indexed="81"/>
            <rFont val="Tahoma"/>
            <family val="2"/>
          </rPr>
          <t>Side Stone Setting Description 9</t>
        </r>
      </text>
    </comment>
    <comment ref="AA47" authorId="0" shapeId="0" xr:uid="{00000000-0006-0000-0000-000013010000}">
      <text>
        <r>
          <rPr>
            <b/>
            <sz val="9"/>
            <color indexed="81"/>
            <rFont val="Tahoma"/>
            <family val="2"/>
          </rPr>
          <t>Side Stone Setting Rate 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47" authorId="0" shapeId="0" xr:uid="{00000000-0006-0000-0000-000014010000}">
      <text>
        <r>
          <rPr>
            <b/>
            <sz val="9"/>
            <color indexed="81"/>
            <rFont val="Tahoma"/>
            <family val="2"/>
          </rPr>
          <t>Side Stone Setting Value 9</t>
        </r>
      </text>
    </comment>
    <comment ref="B48" authorId="0" shapeId="0" xr:uid="{00000000-0006-0000-0000-000015010000}">
      <text>
        <r>
          <rPr>
            <b/>
            <sz val="9"/>
            <color indexed="81"/>
            <rFont val="Tahoma"/>
            <family val="2"/>
          </rPr>
          <t>Side Stone 10</t>
        </r>
      </text>
    </comment>
    <comment ref="C48" authorId="0" shapeId="0" xr:uid="{00000000-0006-0000-0000-000016010000}">
      <text>
        <r>
          <rPr>
            <b/>
            <sz val="9"/>
            <color indexed="81"/>
            <rFont val="Tahoma"/>
            <family val="2"/>
          </rPr>
          <t>Side Stone Shape 10</t>
        </r>
      </text>
    </comment>
    <comment ref="E48" authorId="0" shapeId="0" xr:uid="{00000000-0006-0000-0000-000017010000}">
      <text>
        <r>
          <rPr>
            <b/>
            <sz val="9"/>
            <color indexed="81"/>
            <rFont val="Tahoma"/>
            <family val="2"/>
          </rPr>
          <t>Side Stone Grade 10</t>
        </r>
      </text>
    </comment>
    <comment ref="G48" authorId="0" shapeId="0" xr:uid="{00000000-0006-0000-0000-000018010000}">
      <text>
        <r>
          <rPr>
            <b/>
            <sz val="9"/>
            <color indexed="81"/>
            <rFont val="Tahoma"/>
            <family val="2"/>
          </rPr>
          <t>Side Stone Treatment 10</t>
        </r>
      </text>
    </comment>
    <comment ref="I48" authorId="0" shapeId="0" xr:uid="{00000000-0006-0000-0000-000019010000}">
      <text>
        <r>
          <rPr>
            <b/>
            <sz val="9"/>
            <color indexed="81"/>
            <rFont val="Tahoma"/>
            <family val="2"/>
          </rPr>
          <t>Side Stone Qty 10</t>
        </r>
      </text>
    </comment>
    <comment ref="K48" authorId="0" shapeId="0" xr:uid="{00000000-0006-0000-0000-00001A010000}">
      <text>
        <r>
          <rPr>
            <b/>
            <sz val="9"/>
            <color indexed="81"/>
            <rFont val="Tahoma"/>
            <family val="2"/>
          </rPr>
          <t>Side Stone Weight 10</t>
        </r>
      </text>
    </comment>
    <comment ref="M48" authorId="0" shapeId="0" xr:uid="{00000000-0006-0000-0000-00001B010000}">
      <text>
        <r>
          <rPr>
            <b/>
            <sz val="9"/>
            <color indexed="81"/>
            <rFont val="Tahoma"/>
            <family val="2"/>
          </rPr>
          <t>Side Stone Size 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8" authorId="0" shapeId="0" xr:uid="{00000000-0006-0000-0000-00001C010000}">
      <text>
        <r>
          <rPr>
            <b/>
            <sz val="9"/>
            <color indexed="81"/>
            <rFont val="Tahoma"/>
            <family val="2"/>
          </rPr>
          <t>Side Stone MM 10</t>
        </r>
      </text>
    </comment>
    <comment ref="P48" authorId="0" shapeId="0" xr:uid="{00000000-0006-0000-0000-00001D010000}">
      <text>
        <r>
          <rPr>
            <b/>
            <sz val="9"/>
            <color indexed="81"/>
            <rFont val="Tahoma"/>
            <family val="2"/>
          </rPr>
          <t>Side Stone Min Size 10</t>
        </r>
      </text>
    </comment>
    <comment ref="R48" authorId="0" shapeId="0" xr:uid="{00000000-0006-0000-0000-00001E010000}">
      <text>
        <r>
          <rPr>
            <b/>
            <sz val="9"/>
            <color indexed="81"/>
            <rFont val="Tahoma"/>
            <family val="2"/>
          </rPr>
          <t>Side Stone Max Size 10</t>
        </r>
      </text>
    </comment>
    <comment ref="S48" authorId="0" shapeId="0" xr:uid="{00000000-0006-0000-0000-00001F010000}">
      <text>
        <r>
          <rPr>
            <b/>
            <sz val="9"/>
            <color indexed="81"/>
            <rFont val="Tahoma"/>
            <family val="2"/>
          </rPr>
          <t>Side Stone Rate per Ct 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8" authorId="1" shapeId="0" xr:uid="{00000000-0006-0000-0000-000020010000}">
      <text>
        <r>
          <rPr>
            <b/>
            <sz val="9"/>
            <color indexed="81"/>
            <rFont val="Tahoma"/>
            <family val="2"/>
          </rPr>
          <t>Side Stone Rate per Pc 10</t>
        </r>
      </text>
    </comment>
    <comment ref="W48" authorId="0" shapeId="0" xr:uid="{00000000-0006-0000-0000-000021010000}">
      <text>
        <r>
          <rPr>
            <b/>
            <sz val="9"/>
            <color indexed="81"/>
            <rFont val="Tahoma"/>
            <family val="2"/>
          </rPr>
          <t>Side Stone Value 10</t>
        </r>
      </text>
    </comment>
    <comment ref="X48" authorId="0" shapeId="0" xr:uid="{00000000-0006-0000-0000-000022010000}">
      <text>
        <r>
          <rPr>
            <b/>
            <sz val="9"/>
            <color indexed="81"/>
            <rFont val="Tahoma"/>
            <family val="2"/>
          </rPr>
          <t>Side Stone Setting Description 10</t>
        </r>
      </text>
    </comment>
    <comment ref="AA48" authorId="0" shapeId="0" xr:uid="{00000000-0006-0000-0000-000023010000}">
      <text>
        <r>
          <rPr>
            <b/>
            <sz val="9"/>
            <color indexed="81"/>
            <rFont val="Tahoma"/>
            <family val="2"/>
          </rPr>
          <t>Side Stone Setting Rate 10</t>
        </r>
      </text>
    </comment>
    <comment ref="AB48" authorId="0" shapeId="0" xr:uid="{00000000-0006-0000-0000-000024010000}">
      <text>
        <r>
          <rPr>
            <b/>
            <sz val="9"/>
            <color indexed="81"/>
            <rFont val="Tahoma"/>
            <family val="2"/>
          </rPr>
          <t>Side Stone Setting Value 10</t>
        </r>
      </text>
    </comment>
    <comment ref="B49" authorId="0" shapeId="0" xr:uid="{00000000-0006-0000-0000-000025010000}">
      <text>
        <r>
          <rPr>
            <b/>
            <sz val="9"/>
            <color indexed="81"/>
            <rFont val="Tahoma"/>
            <family val="2"/>
          </rPr>
          <t>Side Stone 11</t>
        </r>
      </text>
    </comment>
    <comment ref="C49" authorId="0" shapeId="0" xr:uid="{00000000-0006-0000-0000-000026010000}">
      <text>
        <r>
          <rPr>
            <b/>
            <sz val="9"/>
            <color indexed="81"/>
            <rFont val="Tahoma"/>
            <family val="2"/>
          </rPr>
          <t>Side Stone Shape 11</t>
        </r>
      </text>
    </comment>
    <comment ref="E49" authorId="0" shapeId="0" xr:uid="{00000000-0006-0000-0000-000027010000}">
      <text>
        <r>
          <rPr>
            <b/>
            <sz val="9"/>
            <color indexed="81"/>
            <rFont val="Tahoma"/>
            <family val="2"/>
          </rPr>
          <t>Side Stone Grade 11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9" authorId="0" shapeId="0" xr:uid="{00000000-0006-0000-0000-000028010000}">
      <text>
        <r>
          <rPr>
            <b/>
            <sz val="9"/>
            <color indexed="81"/>
            <rFont val="Tahoma"/>
            <family val="2"/>
          </rPr>
          <t>Side Stone Treatment 11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9" authorId="0" shapeId="0" xr:uid="{00000000-0006-0000-0000-000029010000}">
      <text>
        <r>
          <rPr>
            <b/>
            <sz val="9"/>
            <color indexed="81"/>
            <rFont val="Tahoma"/>
            <family val="2"/>
          </rPr>
          <t>Side Stone Qty 11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9" authorId="0" shapeId="0" xr:uid="{00000000-0006-0000-0000-00002A010000}">
      <text>
        <r>
          <rPr>
            <b/>
            <sz val="9"/>
            <color indexed="81"/>
            <rFont val="Tahoma"/>
            <family val="2"/>
          </rPr>
          <t>Side Stone Weight 11</t>
        </r>
      </text>
    </comment>
    <comment ref="M49" authorId="0" shapeId="0" xr:uid="{00000000-0006-0000-0000-00002B010000}">
      <text>
        <r>
          <rPr>
            <b/>
            <sz val="9"/>
            <color indexed="81"/>
            <rFont val="Tahoma"/>
            <family val="2"/>
          </rPr>
          <t>Side Stone Size 11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9" authorId="0" shapeId="0" xr:uid="{00000000-0006-0000-0000-00002C010000}">
      <text>
        <r>
          <rPr>
            <b/>
            <sz val="9"/>
            <color indexed="81"/>
            <rFont val="Tahoma"/>
            <family val="2"/>
          </rPr>
          <t>Side Stone MM 11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9" authorId="0" shapeId="0" xr:uid="{00000000-0006-0000-0000-00002D010000}">
      <text>
        <r>
          <rPr>
            <b/>
            <sz val="9"/>
            <color indexed="81"/>
            <rFont val="Tahoma"/>
            <family val="2"/>
          </rPr>
          <t>Side Stone Min Size 11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9" authorId="0" shapeId="0" xr:uid="{00000000-0006-0000-0000-00002E010000}">
      <text>
        <r>
          <rPr>
            <b/>
            <sz val="9"/>
            <color indexed="81"/>
            <rFont val="Tahoma"/>
            <family val="2"/>
          </rPr>
          <t>Side Stone Max Size 11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9" authorId="0" shapeId="0" xr:uid="{00000000-0006-0000-0000-00002F010000}">
      <text>
        <r>
          <rPr>
            <b/>
            <sz val="9"/>
            <color indexed="81"/>
            <rFont val="Tahoma"/>
            <family val="2"/>
          </rPr>
          <t>Side Stone Rate per Ct 11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9" authorId="1" shapeId="0" xr:uid="{00000000-0006-0000-0000-000030010000}">
      <text>
        <r>
          <rPr>
            <b/>
            <sz val="9"/>
            <color indexed="81"/>
            <rFont val="Tahoma"/>
            <family val="2"/>
          </rPr>
          <t xml:space="preserve">Side Stone Rate per Pc 11
</t>
        </r>
      </text>
    </comment>
    <comment ref="W49" authorId="0" shapeId="0" xr:uid="{00000000-0006-0000-0000-000031010000}">
      <text>
        <r>
          <rPr>
            <b/>
            <sz val="9"/>
            <color indexed="81"/>
            <rFont val="Tahoma"/>
            <family val="2"/>
          </rPr>
          <t>Side Stone Value 11</t>
        </r>
      </text>
    </comment>
    <comment ref="X49" authorId="0" shapeId="0" xr:uid="{00000000-0006-0000-0000-000032010000}">
      <text>
        <r>
          <rPr>
            <b/>
            <sz val="9"/>
            <color indexed="81"/>
            <rFont val="Tahoma"/>
            <family val="2"/>
          </rPr>
          <t>Side Stone Setting Description 11</t>
        </r>
      </text>
    </comment>
    <comment ref="AA49" authorId="0" shapeId="0" xr:uid="{00000000-0006-0000-0000-000033010000}">
      <text>
        <r>
          <rPr>
            <b/>
            <sz val="9"/>
            <color indexed="81"/>
            <rFont val="Tahoma"/>
            <family val="2"/>
          </rPr>
          <t>Side Stone Setting Rate 11</t>
        </r>
      </text>
    </comment>
    <comment ref="AB49" authorId="0" shapeId="0" xr:uid="{00000000-0006-0000-0000-000034010000}">
      <text>
        <r>
          <rPr>
            <b/>
            <sz val="9"/>
            <color indexed="81"/>
            <rFont val="Tahoma"/>
            <family val="2"/>
          </rPr>
          <t>Side Stone Setting Value 11</t>
        </r>
      </text>
    </comment>
    <comment ref="B50" authorId="0" shapeId="0" xr:uid="{00000000-0006-0000-0000-000035010000}">
      <text>
        <r>
          <rPr>
            <b/>
            <sz val="9"/>
            <color indexed="81"/>
            <rFont val="Tahoma"/>
            <family val="2"/>
          </rPr>
          <t>Side Stone 12</t>
        </r>
      </text>
    </comment>
    <comment ref="C50" authorId="0" shapeId="0" xr:uid="{00000000-0006-0000-0000-000036010000}">
      <text>
        <r>
          <rPr>
            <b/>
            <sz val="9"/>
            <color indexed="81"/>
            <rFont val="Tahoma"/>
            <family val="2"/>
          </rPr>
          <t>Side Stone Shape 12</t>
        </r>
      </text>
    </comment>
    <comment ref="E50" authorId="0" shapeId="0" xr:uid="{00000000-0006-0000-0000-000037010000}">
      <text>
        <r>
          <rPr>
            <b/>
            <sz val="9"/>
            <color indexed="81"/>
            <rFont val="Tahoma"/>
            <family val="2"/>
          </rPr>
          <t>Side Stone Grade 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50" authorId="0" shapeId="0" xr:uid="{00000000-0006-0000-0000-000038010000}">
      <text>
        <r>
          <rPr>
            <b/>
            <sz val="9"/>
            <color indexed="81"/>
            <rFont val="Tahoma"/>
            <family val="2"/>
          </rPr>
          <t>Side Stone Treatment 12</t>
        </r>
      </text>
    </comment>
    <comment ref="I50" authorId="0" shapeId="0" xr:uid="{00000000-0006-0000-0000-000039010000}">
      <text>
        <r>
          <rPr>
            <b/>
            <sz val="9"/>
            <color indexed="81"/>
            <rFont val="Tahoma"/>
            <family val="2"/>
          </rPr>
          <t>Side Stone Qty 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50" authorId="0" shapeId="0" xr:uid="{00000000-0006-0000-0000-00003A010000}">
      <text>
        <r>
          <rPr>
            <b/>
            <sz val="9"/>
            <color indexed="81"/>
            <rFont val="Tahoma"/>
            <family val="2"/>
          </rPr>
          <t>Side Stone Weight 12</t>
        </r>
      </text>
    </comment>
    <comment ref="M50" authorId="0" shapeId="0" xr:uid="{00000000-0006-0000-0000-00003B010000}">
      <text>
        <r>
          <rPr>
            <b/>
            <sz val="9"/>
            <color indexed="81"/>
            <rFont val="Tahoma"/>
            <family val="2"/>
          </rPr>
          <t>Side Stone Size 12</t>
        </r>
      </text>
    </comment>
    <comment ref="N50" authorId="0" shapeId="0" xr:uid="{00000000-0006-0000-0000-00003C010000}">
      <text>
        <r>
          <rPr>
            <b/>
            <sz val="9"/>
            <color indexed="81"/>
            <rFont val="Tahoma"/>
            <family val="2"/>
          </rPr>
          <t>Side Stone MM 12</t>
        </r>
      </text>
    </comment>
    <comment ref="P50" authorId="0" shapeId="0" xr:uid="{00000000-0006-0000-0000-00003D010000}">
      <text>
        <r>
          <rPr>
            <b/>
            <sz val="9"/>
            <color indexed="81"/>
            <rFont val="Tahoma"/>
            <family val="2"/>
          </rPr>
          <t>Side Stone Min Size 12</t>
        </r>
      </text>
    </comment>
    <comment ref="R50" authorId="0" shapeId="0" xr:uid="{00000000-0006-0000-0000-00003E010000}">
      <text>
        <r>
          <rPr>
            <b/>
            <sz val="9"/>
            <color indexed="81"/>
            <rFont val="Tahoma"/>
            <family val="2"/>
          </rPr>
          <t>Side Stone Max Size 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50" authorId="0" shapeId="0" xr:uid="{00000000-0006-0000-0000-00003F010000}">
      <text>
        <r>
          <rPr>
            <b/>
            <sz val="9"/>
            <color indexed="81"/>
            <rFont val="Tahoma"/>
            <family val="2"/>
          </rPr>
          <t>Side Stone Rate per Ct 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50" authorId="1" shapeId="0" xr:uid="{00000000-0006-0000-0000-000040010000}">
      <text>
        <r>
          <rPr>
            <b/>
            <sz val="9"/>
            <color indexed="81"/>
            <rFont val="Tahoma"/>
            <family val="2"/>
          </rPr>
          <t xml:space="preserve">Side Stone Rate per Pc 12
</t>
        </r>
      </text>
    </comment>
    <comment ref="W50" authorId="0" shapeId="0" xr:uid="{00000000-0006-0000-0000-000041010000}">
      <text>
        <r>
          <rPr>
            <b/>
            <sz val="9"/>
            <color indexed="81"/>
            <rFont val="Tahoma"/>
            <family val="2"/>
          </rPr>
          <t>Side Stone Value 12</t>
        </r>
      </text>
    </comment>
    <comment ref="X50" authorId="0" shapeId="0" xr:uid="{00000000-0006-0000-0000-000042010000}">
      <text>
        <r>
          <rPr>
            <b/>
            <sz val="9"/>
            <color indexed="81"/>
            <rFont val="Tahoma"/>
            <family val="2"/>
          </rPr>
          <t xml:space="preserve">Side Stone Setting Description 12
</t>
        </r>
      </text>
    </comment>
    <comment ref="AA50" authorId="0" shapeId="0" xr:uid="{00000000-0006-0000-0000-000043010000}">
      <text>
        <r>
          <rPr>
            <b/>
            <sz val="9"/>
            <color indexed="81"/>
            <rFont val="Tahoma"/>
            <family val="2"/>
          </rPr>
          <t>Side Stone Setting Rate 12</t>
        </r>
      </text>
    </comment>
    <comment ref="AB50" authorId="0" shapeId="0" xr:uid="{00000000-0006-0000-0000-000044010000}">
      <text>
        <r>
          <rPr>
            <b/>
            <sz val="9"/>
            <color indexed="81"/>
            <rFont val="Tahoma"/>
            <family val="2"/>
          </rPr>
          <t>Side Stone Setting Value 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1" authorId="0" shapeId="0" xr:uid="{00000000-0006-0000-0000-000045010000}">
      <text>
        <r>
          <rPr>
            <b/>
            <sz val="9"/>
            <color indexed="81"/>
            <rFont val="Tahoma"/>
            <family val="2"/>
          </rPr>
          <t>Side Stone 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1" authorId="0" shapeId="0" xr:uid="{00000000-0006-0000-0000-000046010000}">
      <text>
        <r>
          <rPr>
            <b/>
            <sz val="9"/>
            <color indexed="81"/>
            <rFont val="Tahoma"/>
            <family val="2"/>
          </rPr>
          <t>Side Stone Shape 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1" authorId="0" shapeId="0" xr:uid="{00000000-0006-0000-0000-000047010000}">
      <text>
        <r>
          <rPr>
            <b/>
            <sz val="9"/>
            <color indexed="81"/>
            <rFont val="Tahoma"/>
            <family val="2"/>
          </rPr>
          <t>Side Stone Grade 13</t>
        </r>
      </text>
    </comment>
    <comment ref="G51" authorId="0" shapeId="0" xr:uid="{00000000-0006-0000-0000-000048010000}">
      <text>
        <r>
          <rPr>
            <b/>
            <sz val="9"/>
            <color indexed="81"/>
            <rFont val="Tahoma"/>
            <family val="2"/>
          </rPr>
          <t>Side Stone Treatment 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1" authorId="0" shapeId="0" xr:uid="{00000000-0006-0000-0000-000049010000}">
      <text>
        <r>
          <rPr>
            <b/>
            <sz val="9"/>
            <color indexed="81"/>
            <rFont val="Tahoma"/>
            <family val="2"/>
          </rPr>
          <t>Side Stone Qty 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51" authorId="0" shapeId="0" xr:uid="{00000000-0006-0000-0000-00004A010000}">
      <text>
        <r>
          <rPr>
            <b/>
            <sz val="9"/>
            <color indexed="81"/>
            <rFont val="Tahoma"/>
            <family val="2"/>
          </rPr>
          <t>Side Stone Weight 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51" authorId="0" shapeId="0" xr:uid="{00000000-0006-0000-0000-00004B010000}">
      <text>
        <r>
          <rPr>
            <b/>
            <sz val="9"/>
            <color indexed="81"/>
            <rFont val="Tahoma"/>
            <family val="2"/>
          </rPr>
          <t>Side Stone Size 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51" authorId="0" shapeId="0" xr:uid="{00000000-0006-0000-0000-00004C010000}">
      <text>
        <r>
          <rPr>
            <b/>
            <sz val="9"/>
            <color indexed="81"/>
            <rFont val="Tahoma"/>
            <family val="2"/>
          </rPr>
          <t>Side Stone MM 13</t>
        </r>
      </text>
    </comment>
    <comment ref="P51" authorId="0" shapeId="0" xr:uid="{00000000-0006-0000-0000-00004D010000}">
      <text>
        <r>
          <rPr>
            <b/>
            <sz val="9"/>
            <color indexed="81"/>
            <rFont val="Tahoma"/>
            <family val="2"/>
          </rPr>
          <t>Side Stone Min Size 13</t>
        </r>
      </text>
    </comment>
    <comment ref="R51" authorId="0" shapeId="0" xr:uid="{00000000-0006-0000-0000-00004E010000}">
      <text>
        <r>
          <rPr>
            <b/>
            <sz val="9"/>
            <color indexed="81"/>
            <rFont val="Tahoma"/>
            <family val="2"/>
          </rPr>
          <t>Side Stone Max Size 13</t>
        </r>
      </text>
    </comment>
    <comment ref="S51" authorId="0" shapeId="0" xr:uid="{00000000-0006-0000-0000-00004F010000}">
      <text>
        <r>
          <rPr>
            <b/>
            <sz val="9"/>
            <color indexed="81"/>
            <rFont val="Tahoma"/>
            <family val="2"/>
          </rPr>
          <t>Side Stone Rate per Ct 13</t>
        </r>
      </text>
    </comment>
    <comment ref="V51" authorId="1" shapeId="0" xr:uid="{00000000-0006-0000-0000-000050010000}">
      <text>
        <r>
          <rPr>
            <b/>
            <sz val="9"/>
            <color indexed="81"/>
            <rFont val="Tahoma"/>
            <family val="2"/>
          </rPr>
          <t xml:space="preserve">Side Stone Rate per Pc 13
</t>
        </r>
      </text>
    </comment>
    <comment ref="W51" authorId="0" shapeId="0" xr:uid="{00000000-0006-0000-0000-000051010000}">
      <text>
        <r>
          <rPr>
            <b/>
            <sz val="9"/>
            <color indexed="81"/>
            <rFont val="Tahoma"/>
            <family val="2"/>
          </rPr>
          <t>Side Stone Value 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51" authorId="0" shapeId="0" xr:uid="{00000000-0006-0000-0000-000052010000}">
      <text>
        <r>
          <rPr>
            <b/>
            <sz val="9"/>
            <color indexed="81"/>
            <rFont val="Tahoma"/>
            <family val="2"/>
          </rPr>
          <t>Side Stone Setting Description 13</t>
        </r>
      </text>
    </comment>
    <comment ref="AA51" authorId="0" shapeId="0" xr:uid="{00000000-0006-0000-0000-000053010000}">
      <text>
        <r>
          <rPr>
            <b/>
            <sz val="9"/>
            <color indexed="81"/>
            <rFont val="Tahoma"/>
            <family val="2"/>
          </rPr>
          <t>Side Stone Setting Rate 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51" authorId="0" shapeId="0" xr:uid="{00000000-0006-0000-0000-000054010000}">
      <text>
        <r>
          <rPr>
            <b/>
            <sz val="9"/>
            <color indexed="81"/>
            <rFont val="Tahoma"/>
            <family val="2"/>
          </rPr>
          <t>Side Stone Setting Value 13</t>
        </r>
      </text>
    </comment>
    <comment ref="B52" authorId="0" shapeId="0" xr:uid="{00000000-0006-0000-0000-000055010000}">
      <text>
        <r>
          <rPr>
            <b/>
            <sz val="9"/>
            <color indexed="81"/>
            <rFont val="Tahoma"/>
            <family val="2"/>
          </rPr>
          <t>Side Stone 14</t>
        </r>
      </text>
    </comment>
    <comment ref="C52" authorId="0" shapeId="0" xr:uid="{00000000-0006-0000-0000-000056010000}">
      <text>
        <r>
          <rPr>
            <b/>
            <sz val="9"/>
            <color indexed="81"/>
            <rFont val="Tahoma"/>
            <family val="2"/>
          </rPr>
          <t>Side Stone Shape 14</t>
        </r>
      </text>
    </comment>
    <comment ref="E52" authorId="0" shapeId="0" xr:uid="{00000000-0006-0000-0000-000057010000}">
      <text>
        <r>
          <rPr>
            <b/>
            <sz val="9"/>
            <color indexed="81"/>
            <rFont val="Tahoma"/>
            <family val="2"/>
          </rPr>
          <t>Side Stone Grade 14</t>
        </r>
      </text>
    </comment>
    <comment ref="G52" authorId="0" shapeId="0" xr:uid="{00000000-0006-0000-0000-000058010000}">
      <text>
        <r>
          <rPr>
            <b/>
            <sz val="9"/>
            <color indexed="81"/>
            <rFont val="Tahoma"/>
            <family val="2"/>
          </rPr>
          <t>Side Stone Treatment 14</t>
        </r>
      </text>
    </comment>
    <comment ref="I52" authorId="0" shapeId="0" xr:uid="{00000000-0006-0000-0000-000059010000}">
      <text>
        <r>
          <rPr>
            <b/>
            <sz val="9"/>
            <color indexed="81"/>
            <rFont val="Tahoma"/>
            <family val="2"/>
          </rPr>
          <t>Side Stone Qty 14</t>
        </r>
      </text>
    </comment>
    <comment ref="K52" authorId="0" shapeId="0" xr:uid="{00000000-0006-0000-0000-00005A010000}">
      <text>
        <r>
          <rPr>
            <b/>
            <sz val="9"/>
            <color indexed="81"/>
            <rFont val="Tahoma"/>
            <family val="2"/>
          </rPr>
          <t>Side Stone Weight 14</t>
        </r>
      </text>
    </comment>
    <comment ref="M52" authorId="0" shapeId="0" xr:uid="{00000000-0006-0000-0000-00005B010000}">
      <text>
        <r>
          <rPr>
            <b/>
            <sz val="9"/>
            <color indexed="81"/>
            <rFont val="Tahoma"/>
            <family val="2"/>
          </rPr>
          <t>Side Stone Size 14</t>
        </r>
      </text>
    </comment>
    <comment ref="N52" authorId="0" shapeId="0" xr:uid="{00000000-0006-0000-0000-00005C010000}">
      <text>
        <r>
          <rPr>
            <b/>
            <sz val="9"/>
            <color indexed="81"/>
            <rFont val="Tahoma"/>
            <family val="2"/>
          </rPr>
          <t>Side Stone MM 14</t>
        </r>
      </text>
    </comment>
    <comment ref="P52" authorId="0" shapeId="0" xr:uid="{00000000-0006-0000-0000-00005D010000}">
      <text>
        <r>
          <rPr>
            <b/>
            <sz val="9"/>
            <color indexed="81"/>
            <rFont val="Tahoma"/>
            <family val="2"/>
          </rPr>
          <t>Side Stone Min Size 14</t>
        </r>
      </text>
    </comment>
    <comment ref="R52" authorId="0" shapeId="0" xr:uid="{00000000-0006-0000-0000-00005E010000}">
      <text>
        <r>
          <rPr>
            <b/>
            <sz val="9"/>
            <color indexed="81"/>
            <rFont val="Tahoma"/>
            <family val="2"/>
          </rPr>
          <t>Side Stone Max Size 14</t>
        </r>
      </text>
    </comment>
    <comment ref="S52" authorId="0" shapeId="0" xr:uid="{00000000-0006-0000-0000-00005F010000}">
      <text>
        <r>
          <rPr>
            <b/>
            <sz val="9"/>
            <color indexed="81"/>
            <rFont val="Tahoma"/>
            <family val="2"/>
          </rPr>
          <t>Side Stone Rate per Ct 14</t>
        </r>
      </text>
    </comment>
    <comment ref="V52" authorId="1" shapeId="0" xr:uid="{00000000-0006-0000-0000-000060010000}">
      <text>
        <r>
          <rPr>
            <b/>
            <sz val="9"/>
            <color indexed="81"/>
            <rFont val="Tahoma"/>
            <family val="2"/>
          </rPr>
          <t xml:space="preserve">Side Stone Rate per Pc 14
</t>
        </r>
      </text>
    </comment>
    <comment ref="W52" authorId="0" shapeId="0" xr:uid="{00000000-0006-0000-0000-000061010000}">
      <text>
        <r>
          <rPr>
            <b/>
            <sz val="9"/>
            <color indexed="81"/>
            <rFont val="Tahoma"/>
            <family val="2"/>
          </rPr>
          <t>Side Stone Value 14</t>
        </r>
      </text>
    </comment>
    <comment ref="X52" authorId="0" shapeId="0" xr:uid="{00000000-0006-0000-0000-000062010000}">
      <text>
        <r>
          <rPr>
            <b/>
            <sz val="9"/>
            <color indexed="81"/>
            <rFont val="Tahoma"/>
            <family val="2"/>
          </rPr>
          <t>Side Stone Setting Description 14</t>
        </r>
      </text>
    </comment>
    <comment ref="AA52" authorId="0" shapeId="0" xr:uid="{00000000-0006-0000-0000-000063010000}">
      <text>
        <r>
          <rPr>
            <b/>
            <sz val="9"/>
            <color indexed="81"/>
            <rFont val="Tahoma"/>
            <family val="2"/>
          </rPr>
          <t>Side Stone Setting Rate 14</t>
        </r>
      </text>
    </comment>
    <comment ref="AB52" authorId="0" shapeId="0" xr:uid="{00000000-0006-0000-0000-000064010000}">
      <text>
        <r>
          <rPr>
            <b/>
            <sz val="9"/>
            <color indexed="81"/>
            <rFont val="Tahoma"/>
            <family val="2"/>
          </rPr>
          <t>Side Stone Setting Value 14</t>
        </r>
      </text>
    </comment>
    <comment ref="B53" authorId="0" shapeId="0" xr:uid="{00000000-0006-0000-0000-000065010000}">
      <text>
        <r>
          <rPr>
            <b/>
            <sz val="9"/>
            <color indexed="81"/>
            <rFont val="Tahoma"/>
            <family val="2"/>
          </rPr>
          <t>Side Stone 15</t>
        </r>
      </text>
    </comment>
    <comment ref="C53" authorId="0" shapeId="0" xr:uid="{00000000-0006-0000-0000-000066010000}">
      <text>
        <r>
          <rPr>
            <b/>
            <sz val="9"/>
            <color indexed="81"/>
            <rFont val="Tahoma"/>
            <family val="2"/>
          </rPr>
          <t>Side Stone Shape 15</t>
        </r>
      </text>
    </comment>
    <comment ref="E53" authorId="0" shapeId="0" xr:uid="{00000000-0006-0000-0000-000067010000}">
      <text>
        <r>
          <rPr>
            <b/>
            <sz val="9"/>
            <color indexed="81"/>
            <rFont val="Tahoma"/>
            <family val="2"/>
          </rPr>
          <t>Side Stone Grade 15</t>
        </r>
      </text>
    </comment>
    <comment ref="G53" authorId="0" shapeId="0" xr:uid="{00000000-0006-0000-0000-000068010000}">
      <text>
        <r>
          <rPr>
            <b/>
            <sz val="9"/>
            <color indexed="81"/>
            <rFont val="Tahoma"/>
            <family val="2"/>
          </rPr>
          <t>Side Stone Treatment 15</t>
        </r>
      </text>
    </comment>
    <comment ref="I53" authorId="0" shapeId="0" xr:uid="{00000000-0006-0000-0000-000069010000}">
      <text>
        <r>
          <rPr>
            <b/>
            <sz val="9"/>
            <color indexed="81"/>
            <rFont val="Tahoma"/>
            <family val="2"/>
          </rPr>
          <t>Side Stone Qty 15</t>
        </r>
      </text>
    </comment>
    <comment ref="K53" authorId="0" shapeId="0" xr:uid="{00000000-0006-0000-0000-00006A010000}">
      <text>
        <r>
          <rPr>
            <b/>
            <sz val="9"/>
            <color indexed="81"/>
            <rFont val="Tahoma"/>
            <family val="2"/>
          </rPr>
          <t>Side Stone Weight 15</t>
        </r>
      </text>
    </comment>
    <comment ref="M53" authorId="0" shapeId="0" xr:uid="{00000000-0006-0000-0000-00006B010000}">
      <text>
        <r>
          <rPr>
            <b/>
            <sz val="9"/>
            <color indexed="81"/>
            <rFont val="Tahoma"/>
            <family val="2"/>
          </rPr>
          <t>Side Stone Size 15</t>
        </r>
      </text>
    </comment>
    <comment ref="N53" authorId="0" shapeId="0" xr:uid="{00000000-0006-0000-0000-00006C010000}">
      <text>
        <r>
          <rPr>
            <b/>
            <sz val="9"/>
            <color indexed="81"/>
            <rFont val="Tahoma"/>
            <family val="2"/>
          </rPr>
          <t>Side Stone MM 15</t>
        </r>
      </text>
    </comment>
    <comment ref="P53" authorId="0" shapeId="0" xr:uid="{00000000-0006-0000-0000-00006D010000}">
      <text>
        <r>
          <rPr>
            <b/>
            <sz val="9"/>
            <color indexed="81"/>
            <rFont val="Tahoma"/>
            <family val="2"/>
          </rPr>
          <t>Side Stone Min Size 15</t>
        </r>
      </text>
    </comment>
    <comment ref="R53" authorId="0" shapeId="0" xr:uid="{00000000-0006-0000-0000-00006E010000}">
      <text>
        <r>
          <rPr>
            <b/>
            <sz val="9"/>
            <color indexed="81"/>
            <rFont val="Tahoma"/>
            <family val="2"/>
          </rPr>
          <t>Side Stone Max Size 15</t>
        </r>
      </text>
    </comment>
    <comment ref="S53" authorId="0" shapeId="0" xr:uid="{00000000-0006-0000-0000-00006F010000}">
      <text>
        <r>
          <rPr>
            <b/>
            <sz val="9"/>
            <color indexed="81"/>
            <rFont val="Tahoma"/>
            <family val="2"/>
          </rPr>
          <t>Side Stone Rate per Ct 15</t>
        </r>
      </text>
    </comment>
    <comment ref="V53" authorId="1" shapeId="0" xr:uid="{00000000-0006-0000-0000-000070010000}">
      <text>
        <r>
          <rPr>
            <b/>
            <sz val="9"/>
            <color indexed="81"/>
            <rFont val="Tahoma"/>
            <family val="2"/>
          </rPr>
          <t xml:space="preserve">Side Stone Rate per Pc 15
</t>
        </r>
      </text>
    </comment>
    <comment ref="W53" authorId="0" shapeId="0" xr:uid="{00000000-0006-0000-0000-000071010000}">
      <text>
        <r>
          <rPr>
            <b/>
            <sz val="9"/>
            <color indexed="81"/>
            <rFont val="Tahoma"/>
            <family val="2"/>
          </rPr>
          <t>Side Stone Value 15</t>
        </r>
      </text>
    </comment>
    <comment ref="X53" authorId="0" shapeId="0" xr:uid="{00000000-0006-0000-0000-000072010000}">
      <text>
        <r>
          <rPr>
            <b/>
            <sz val="9"/>
            <color indexed="81"/>
            <rFont val="Tahoma"/>
            <family val="2"/>
          </rPr>
          <t>Side Stone Setting Description 15</t>
        </r>
      </text>
    </comment>
    <comment ref="AA53" authorId="0" shapeId="0" xr:uid="{00000000-0006-0000-0000-000073010000}">
      <text>
        <r>
          <rPr>
            <b/>
            <sz val="9"/>
            <color indexed="81"/>
            <rFont val="Tahoma"/>
            <family val="2"/>
          </rPr>
          <t>Side Stone setting Rate 15</t>
        </r>
      </text>
    </comment>
    <comment ref="AB53" authorId="0" shapeId="0" xr:uid="{00000000-0006-0000-0000-000074010000}">
      <text>
        <r>
          <rPr>
            <b/>
            <sz val="9"/>
            <color indexed="81"/>
            <rFont val="Tahoma"/>
            <family val="2"/>
          </rPr>
          <t>Side Stone Setting Value 15</t>
        </r>
      </text>
    </comment>
    <comment ref="I55" authorId="0" shapeId="0" xr:uid="{00000000-0006-0000-0000-000075010000}">
      <text>
        <r>
          <rPr>
            <b/>
            <sz val="9"/>
            <color indexed="81"/>
            <rFont val="Tahoma"/>
            <family val="2"/>
          </rPr>
          <t>Total Stone Qty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55" authorId="0" shapeId="0" xr:uid="{00000000-0006-0000-0000-000076010000}">
      <text>
        <r>
          <rPr>
            <b/>
            <sz val="9"/>
            <color indexed="81"/>
            <rFont val="Tahoma"/>
            <family val="2"/>
          </rPr>
          <t xml:space="preserve">Total Stone Value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55" authorId="0" shapeId="0" xr:uid="{00000000-0006-0000-0000-000077010000}">
      <text>
        <r>
          <rPr>
            <b/>
            <sz val="9"/>
            <color indexed="81"/>
            <rFont val="Tahoma"/>
            <family val="2"/>
          </rPr>
          <t xml:space="preserve">Total Setting Value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56" authorId="0" shapeId="0" xr:uid="{00000000-0006-0000-0000-000078010000}">
      <text>
        <r>
          <rPr>
            <b/>
            <sz val="9"/>
            <color indexed="81"/>
            <rFont val="Tahoma"/>
            <family val="2"/>
          </rPr>
          <t>Total Stone Weight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" authorId="0" shapeId="0" xr:uid="{00000000-0006-0000-0000-000079010000}">
      <text>
        <r>
          <rPr>
            <b/>
            <sz val="9"/>
            <color indexed="81"/>
            <rFont val="Tahoma"/>
            <family val="2"/>
          </rPr>
          <t>Item Type</t>
        </r>
      </text>
    </comment>
    <comment ref="K57" authorId="0" shapeId="0" xr:uid="{00000000-0006-0000-0000-00007A010000}">
      <text>
        <r>
          <rPr>
            <b/>
            <sz val="9"/>
            <color indexed="81"/>
            <rFont val="Tahoma"/>
            <family val="2"/>
          </rPr>
          <t>Minimum TDW</t>
        </r>
      </text>
    </comment>
    <comment ref="M61" authorId="0" shapeId="0" xr:uid="{00000000-0006-0000-0000-00007B010000}">
      <text>
        <r>
          <rPr>
            <b/>
            <sz val="9"/>
            <color indexed="81"/>
            <rFont val="Tahoma"/>
            <family val="2"/>
          </rPr>
          <t>Comments</t>
        </r>
      </text>
    </comment>
    <comment ref="W61" authorId="0" shapeId="0" xr:uid="{00000000-0006-0000-0000-00007C010000}">
      <text>
        <r>
          <rPr>
            <b/>
            <sz val="9"/>
            <color indexed="81"/>
            <rFont val="Tahoma"/>
            <family val="2"/>
          </rPr>
          <t>Labour Type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61" authorId="0" shapeId="0" xr:uid="{00000000-0006-0000-0000-00007D010000}">
      <text>
        <r>
          <rPr>
            <b/>
            <sz val="9"/>
            <color indexed="81"/>
            <rFont val="Tahoma"/>
            <family val="2"/>
          </rPr>
          <t>Labour Per Piece 1</t>
        </r>
      </text>
    </comment>
    <comment ref="AB61" authorId="0" shapeId="0" xr:uid="{00000000-0006-0000-0000-00007E010000}">
      <text>
        <r>
          <rPr>
            <b/>
            <sz val="9"/>
            <color indexed="81"/>
            <rFont val="Tahoma"/>
            <family val="2"/>
          </rPr>
          <t>Labour Per Gram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2" authorId="0" shapeId="0" xr:uid="{00000000-0006-0000-0000-00007F010000}">
      <text>
        <r>
          <rPr>
            <b/>
            <sz val="9"/>
            <color indexed="81"/>
            <rFont val="Tahoma"/>
            <family val="2"/>
          </rPr>
          <t>Ring Width</t>
        </r>
        <r>
          <rPr>
            <sz val="9"/>
            <color indexed="81"/>
            <rFont val="Tahoma"/>
            <family val="2"/>
          </rPr>
          <t xml:space="preserve">
Please enter in mm</t>
        </r>
      </text>
    </comment>
    <comment ref="G62" authorId="0" shapeId="0" xr:uid="{00000000-0006-0000-0000-000080010000}">
      <text>
        <r>
          <rPr>
            <b/>
            <sz val="9"/>
            <color indexed="81"/>
            <rFont val="Tahoma"/>
            <family val="2"/>
          </rPr>
          <t>Earring Style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2" authorId="0" shapeId="0" xr:uid="{00000000-0006-0000-0000-000081010000}">
      <text>
        <r>
          <rPr>
            <b/>
            <sz val="9"/>
            <color indexed="81"/>
            <rFont val="Tahoma"/>
            <family val="2"/>
          </rPr>
          <t>Pendant Width</t>
        </r>
        <r>
          <rPr>
            <sz val="9"/>
            <color indexed="81"/>
            <rFont val="Tahoma"/>
            <family val="2"/>
          </rPr>
          <t xml:space="preserve">
Please enter in mm</t>
        </r>
      </text>
    </comment>
    <comment ref="W62" authorId="0" shapeId="0" xr:uid="{00000000-0006-0000-0000-000082010000}">
      <text>
        <r>
          <rPr>
            <b/>
            <sz val="9"/>
            <color indexed="81"/>
            <rFont val="Tahoma"/>
            <family val="2"/>
          </rPr>
          <t>Labour Type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62" authorId="0" shapeId="0" xr:uid="{00000000-0006-0000-0000-000083010000}">
      <text>
        <r>
          <rPr>
            <b/>
            <sz val="9"/>
            <color indexed="81"/>
            <rFont val="Tahoma"/>
            <family val="2"/>
          </rPr>
          <t>Labour Per Piece 2</t>
        </r>
      </text>
    </comment>
    <comment ref="AB62" authorId="0" shapeId="0" xr:uid="{00000000-0006-0000-0000-000084010000}">
      <text>
        <r>
          <rPr>
            <b/>
            <sz val="9"/>
            <color indexed="81"/>
            <rFont val="Tahoma"/>
            <family val="2"/>
          </rPr>
          <t>Labour Per Gram Total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3" authorId="0" shapeId="0" xr:uid="{00000000-0006-0000-0000-000085010000}">
      <text>
        <r>
          <rPr>
            <b/>
            <sz val="9"/>
            <color indexed="81"/>
            <rFont val="Tahoma"/>
            <family val="2"/>
          </rPr>
          <t>Shank Thickness</t>
        </r>
        <r>
          <rPr>
            <sz val="9"/>
            <color indexed="81"/>
            <rFont val="Tahoma"/>
            <family val="2"/>
          </rPr>
          <t xml:space="preserve">
Please enter in mm</t>
        </r>
      </text>
    </comment>
    <comment ref="G63" authorId="0" shapeId="0" xr:uid="{00000000-0006-0000-0000-000086010000}">
      <text>
        <r>
          <rPr>
            <b/>
            <sz val="9"/>
            <color indexed="81"/>
            <rFont val="Tahoma"/>
            <family val="2"/>
          </rPr>
          <t>ClaspBacking</t>
        </r>
        <r>
          <rPr>
            <sz val="9"/>
            <color indexed="81"/>
            <rFont val="Tahoma"/>
            <family val="2"/>
          </rPr>
          <t xml:space="preserve">
Eg, Butterfly, shepards hook etc. </t>
        </r>
      </text>
    </comment>
    <comment ref="K63" authorId="0" shapeId="0" xr:uid="{00000000-0006-0000-0000-000087010000}">
      <text>
        <r>
          <rPr>
            <b/>
            <sz val="9"/>
            <color indexed="81"/>
            <rFont val="Tahoma"/>
            <family val="2"/>
          </rPr>
          <t>Pendant Length</t>
        </r>
        <r>
          <rPr>
            <sz val="9"/>
            <color indexed="81"/>
            <rFont val="Tahoma"/>
            <family val="2"/>
          </rPr>
          <t xml:space="preserve">
Please enter in mm</t>
        </r>
      </text>
    </comment>
    <comment ref="W63" authorId="0" shapeId="0" xr:uid="{00000000-0006-0000-0000-000088010000}">
      <text>
        <r>
          <rPr>
            <b/>
            <sz val="9"/>
            <color indexed="81"/>
            <rFont val="Tahoma"/>
            <family val="2"/>
          </rPr>
          <t>Labour Type 3</t>
        </r>
      </text>
    </comment>
    <comment ref="Y63" authorId="0" shapeId="0" xr:uid="{00000000-0006-0000-0000-000089010000}">
      <text>
        <r>
          <rPr>
            <b/>
            <sz val="9"/>
            <color indexed="81"/>
            <rFont val="Tahoma"/>
            <family val="2"/>
          </rPr>
          <t>Labour Per Piece 3</t>
        </r>
      </text>
    </comment>
    <comment ref="D64" authorId="0" shapeId="0" xr:uid="{00000000-0006-0000-0000-00008A010000}">
      <text>
        <r>
          <rPr>
            <b/>
            <sz val="9"/>
            <color indexed="81"/>
            <rFont val="Tahoma"/>
            <family val="2"/>
          </rPr>
          <t>Ring Finish</t>
        </r>
        <r>
          <rPr>
            <sz val="9"/>
            <color indexed="81"/>
            <rFont val="Tahoma"/>
            <family val="2"/>
          </rPr>
          <t xml:space="preserve">
Eg. Brushed, polished, miligrain etc.</t>
        </r>
      </text>
    </comment>
    <comment ref="G64" authorId="0" shapeId="0" xr:uid="{00000000-0006-0000-0000-00008B010000}">
      <text>
        <r>
          <rPr>
            <b/>
            <sz val="9"/>
            <color indexed="81"/>
            <rFont val="Tahoma"/>
            <family val="2"/>
          </rPr>
          <t>Earring Width</t>
        </r>
        <r>
          <rPr>
            <sz val="9"/>
            <color indexed="81"/>
            <rFont val="Tahoma"/>
            <family val="2"/>
          </rPr>
          <t xml:space="preserve">
Please enter in mm</t>
        </r>
      </text>
    </comment>
    <comment ref="K64" authorId="0" shapeId="0" xr:uid="{00000000-0006-0000-0000-00008C010000}">
      <text>
        <r>
          <rPr>
            <b/>
            <sz val="9"/>
            <color indexed="81"/>
            <rFont val="Tahoma"/>
            <family val="2"/>
          </rPr>
          <t>Pendant Chain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64" authorId="0" shapeId="0" xr:uid="{00000000-0006-0000-0000-00008D010000}">
      <text>
        <r>
          <rPr>
            <b/>
            <sz val="9"/>
            <color indexed="81"/>
            <rFont val="Tahoma"/>
            <family val="2"/>
          </rPr>
          <t>Labour Type 4</t>
        </r>
      </text>
    </comment>
    <comment ref="Y64" authorId="0" shapeId="0" xr:uid="{00000000-0006-0000-0000-00008E010000}">
      <text>
        <r>
          <rPr>
            <b/>
            <sz val="9"/>
            <color indexed="81"/>
            <rFont val="Tahoma"/>
            <family val="2"/>
          </rPr>
          <t>Labour Per Piece 4</t>
        </r>
      </text>
    </comment>
    <comment ref="G65" authorId="0" shapeId="0" xr:uid="{00000000-0006-0000-0000-00008F010000}">
      <text>
        <r>
          <rPr>
            <b/>
            <sz val="9"/>
            <color indexed="81"/>
            <rFont val="Tahoma"/>
            <family val="2"/>
          </rPr>
          <t>Earring Length</t>
        </r>
        <r>
          <rPr>
            <sz val="9"/>
            <color indexed="81"/>
            <rFont val="Tahoma"/>
            <family val="2"/>
          </rPr>
          <t xml:space="preserve">
Please enter in mm</t>
        </r>
      </text>
    </comment>
    <comment ref="K65" authorId="0" shapeId="0" xr:uid="{00000000-0006-0000-0000-000090010000}">
      <text>
        <r>
          <rPr>
            <b/>
            <sz val="9"/>
            <color indexed="81"/>
            <rFont val="Tahoma"/>
            <family val="2"/>
          </rPr>
          <t>Pendant Chain Style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65" authorId="0" shapeId="0" xr:uid="{00000000-0006-0000-0000-000091010000}">
      <text>
        <r>
          <rPr>
            <b/>
            <sz val="9"/>
            <color indexed="81"/>
            <rFont val="Tahoma"/>
            <family val="2"/>
          </rPr>
          <t>Labour Type 5</t>
        </r>
      </text>
    </comment>
    <comment ref="Y65" authorId="0" shapeId="0" xr:uid="{00000000-0006-0000-0000-000092010000}">
      <text>
        <r>
          <rPr>
            <b/>
            <sz val="9"/>
            <color indexed="81"/>
            <rFont val="Tahoma"/>
            <family val="2"/>
          </rPr>
          <t>Labour Per Piece 5</t>
        </r>
      </text>
    </comment>
    <comment ref="G66" authorId="0" shapeId="0" xr:uid="{00000000-0006-0000-0000-000093010000}">
      <text>
        <r>
          <rPr>
            <b/>
            <sz val="9"/>
            <color indexed="81"/>
            <rFont val="Tahoma"/>
            <family val="2"/>
          </rPr>
          <t>Earring Finish</t>
        </r>
        <r>
          <rPr>
            <sz val="9"/>
            <color indexed="81"/>
            <rFont val="Tahoma"/>
            <family val="2"/>
          </rPr>
          <t xml:space="preserve">
Eg. Brushed, polished, miligrain etc.</t>
        </r>
      </text>
    </comment>
    <comment ref="W66" authorId="0" shapeId="0" xr:uid="{00000000-0006-0000-0000-000094010000}">
      <text>
        <r>
          <rPr>
            <b/>
            <sz val="9"/>
            <color indexed="81"/>
            <rFont val="Tahoma"/>
            <family val="2"/>
          </rPr>
          <t>Labour Type 6</t>
        </r>
      </text>
    </comment>
    <comment ref="Y66" authorId="0" shapeId="0" xr:uid="{00000000-0006-0000-0000-000095010000}">
      <text>
        <r>
          <rPr>
            <b/>
            <sz val="9"/>
            <color indexed="81"/>
            <rFont val="Tahoma"/>
            <family val="2"/>
          </rPr>
          <t>Labour Per Piece 6</t>
        </r>
      </text>
    </comment>
    <comment ref="AB66" authorId="0" shapeId="0" xr:uid="{00000000-0006-0000-0000-000096010000}">
      <text>
        <r>
          <rPr>
            <b/>
            <sz val="9"/>
            <color indexed="81"/>
            <rFont val="Tahoma"/>
            <family val="2"/>
          </rPr>
          <t>Metal Cost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7" authorId="0" shapeId="0" xr:uid="{00000000-0006-0000-0000-000097010000}">
      <text>
        <r>
          <rPr>
            <b/>
            <sz val="9"/>
            <color indexed="81"/>
            <rFont val="Tahoma"/>
            <family val="2"/>
          </rPr>
          <t>Ring Size</t>
        </r>
        <r>
          <rPr>
            <sz val="9"/>
            <color indexed="81"/>
            <rFont val="Tahoma"/>
            <family val="2"/>
          </rPr>
          <t xml:space="preserve">
This is the standard size that purchase orders will be provided in</t>
        </r>
      </text>
    </comment>
    <comment ref="W67" authorId="0" shapeId="0" xr:uid="{00000000-0006-0000-0000-000098010000}">
      <text>
        <r>
          <rPr>
            <b/>
            <sz val="9"/>
            <color indexed="81"/>
            <rFont val="Tahoma"/>
            <family val="2"/>
          </rPr>
          <t>Labour Type 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67" authorId="0" shapeId="0" xr:uid="{00000000-0006-0000-0000-000099010000}">
      <text>
        <r>
          <rPr>
            <b/>
            <sz val="9"/>
            <color indexed="81"/>
            <rFont val="Tahoma"/>
            <family val="2"/>
          </rPr>
          <t>Labour Per Piece 7</t>
        </r>
      </text>
    </comment>
    <comment ref="AB67" authorId="0" shapeId="0" xr:uid="{00000000-0006-0000-0000-00009A010000}">
      <text>
        <r>
          <rPr>
            <b/>
            <sz val="9"/>
            <color indexed="81"/>
            <rFont val="Tahoma"/>
            <family val="2"/>
          </rPr>
          <t>Findings Cost</t>
        </r>
      </text>
    </comment>
    <comment ref="K68" authorId="0" shapeId="0" xr:uid="{00000000-0006-0000-0000-00009B010000}">
      <text>
        <r>
          <rPr>
            <b/>
            <sz val="9"/>
            <color indexed="81"/>
            <rFont val="Tahoma"/>
            <family val="2"/>
          </rPr>
          <t>Accessories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68" authorId="0" shapeId="0" xr:uid="{00000000-0006-0000-0000-00009C010000}">
      <text>
        <r>
          <rPr>
            <b/>
            <sz val="9"/>
            <color indexed="81"/>
            <rFont val="Tahoma"/>
            <family val="2"/>
          </rPr>
          <t>Labour Type 8</t>
        </r>
      </text>
    </comment>
    <comment ref="Y68" authorId="0" shapeId="0" xr:uid="{00000000-0006-0000-0000-00009D010000}">
      <text>
        <r>
          <rPr>
            <b/>
            <sz val="9"/>
            <color indexed="81"/>
            <rFont val="Tahoma"/>
            <family val="2"/>
          </rPr>
          <t>Labour Per Piece 8</t>
        </r>
      </text>
    </comment>
    <comment ref="AB68" authorId="0" shapeId="0" xr:uid="{00000000-0006-0000-0000-00009E010000}">
      <text>
        <r>
          <rPr>
            <b/>
            <sz val="9"/>
            <color indexed="81"/>
            <rFont val="Tahoma"/>
            <family val="2"/>
          </rPr>
          <t>Stones Cost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9" authorId="0" shapeId="0" xr:uid="{00000000-0006-0000-0000-00009F010000}">
      <text>
        <r>
          <rPr>
            <b/>
            <sz val="9"/>
            <color indexed="81"/>
            <rFont val="Tahoma"/>
            <family val="2"/>
          </rPr>
          <t>Accessories Length</t>
        </r>
        <r>
          <rPr>
            <sz val="9"/>
            <color indexed="81"/>
            <rFont val="Tahoma"/>
            <family val="2"/>
          </rPr>
          <t xml:space="preserve">
Please enter in mm</t>
        </r>
      </text>
    </comment>
    <comment ref="W69" authorId="0" shapeId="0" xr:uid="{00000000-0006-0000-0000-0000A0010000}">
      <text>
        <r>
          <rPr>
            <b/>
            <sz val="9"/>
            <color indexed="81"/>
            <rFont val="Tahoma"/>
            <family val="2"/>
          </rPr>
          <t>Labour Type 9</t>
        </r>
      </text>
    </comment>
    <comment ref="Y69" authorId="0" shapeId="0" xr:uid="{00000000-0006-0000-0000-0000A1010000}">
      <text>
        <r>
          <rPr>
            <b/>
            <sz val="9"/>
            <color indexed="81"/>
            <rFont val="Tahoma"/>
            <family val="2"/>
          </rPr>
          <t>Labour Per Piece 9</t>
        </r>
      </text>
    </comment>
    <comment ref="AB69" authorId="0" shapeId="0" xr:uid="{00000000-0006-0000-0000-0000A2010000}">
      <text>
        <r>
          <rPr>
            <b/>
            <sz val="9"/>
            <color indexed="81"/>
            <rFont val="Tahoma"/>
            <family val="2"/>
          </rPr>
          <t>Setting Cost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0" authorId="0" shapeId="0" xr:uid="{00000000-0006-0000-0000-0000A3010000}">
      <text>
        <r>
          <rPr>
            <b/>
            <sz val="9"/>
            <color indexed="81"/>
            <rFont val="Tahoma"/>
            <family val="2"/>
          </rPr>
          <t>Resizes Up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0" authorId="0" shapeId="0" xr:uid="{00000000-0006-0000-0000-0000A4010000}">
      <text>
        <r>
          <rPr>
            <b/>
            <sz val="9"/>
            <color indexed="81"/>
            <rFont val="Tahoma"/>
            <family val="2"/>
          </rPr>
          <t>Profile Width</t>
        </r>
        <r>
          <rPr>
            <sz val="9"/>
            <color indexed="81"/>
            <rFont val="Tahoma"/>
            <family val="2"/>
          </rPr>
          <t xml:space="preserve">
Please enter in mm</t>
        </r>
      </text>
    </comment>
    <comment ref="K70" authorId="0" shapeId="0" xr:uid="{00000000-0006-0000-0000-0000A5010000}">
      <text>
        <r>
          <rPr>
            <b/>
            <sz val="9"/>
            <color indexed="81"/>
            <rFont val="Tahoma"/>
            <family val="2"/>
          </rPr>
          <t>Accessories Width</t>
        </r>
        <r>
          <rPr>
            <sz val="9"/>
            <color indexed="81"/>
            <rFont val="Tahoma"/>
            <family val="2"/>
          </rPr>
          <t xml:space="preserve">
Please enter in mm</t>
        </r>
      </text>
    </comment>
    <comment ref="W70" authorId="0" shapeId="0" xr:uid="{00000000-0006-0000-0000-0000A6010000}">
      <text>
        <r>
          <rPr>
            <b/>
            <sz val="9"/>
            <color indexed="81"/>
            <rFont val="Tahoma"/>
            <family val="2"/>
          </rPr>
          <t>Labour Type 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0" authorId="0" shapeId="0" xr:uid="{00000000-0006-0000-0000-0000A7010000}">
      <text>
        <r>
          <rPr>
            <b/>
            <sz val="9"/>
            <color indexed="81"/>
            <rFont val="Tahoma"/>
            <family val="2"/>
          </rPr>
          <t>Labour Per Piece 10</t>
        </r>
      </text>
    </comment>
    <comment ref="AB70" authorId="0" shapeId="0" xr:uid="{00000000-0006-0000-0000-0000A8010000}">
      <text>
        <r>
          <rPr>
            <b/>
            <sz val="9"/>
            <color indexed="81"/>
            <rFont val="Tahoma"/>
            <family val="2"/>
          </rPr>
          <t>Labour Costs</t>
        </r>
      </text>
    </comment>
    <comment ref="D71" authorId="0" shapeId="0" xr:uid="{00000000-0006-0000-0000-0000A9010000}">
      <text>
        <r>
          <rPr>
            <b/>
            <sz val="9"/>
            <color indexed="81"/>
            <rFont val="Tahoma"/>
            <family val="2"/>
          </rPr>
          <t>Resizes Down</t>
        </r>
      </text>
    </comment>
    <comment ref="G71" authorId="0" shapeId="0" xr:uid="{00000000-0006-0000-0000-0000AA010000}">
      <text>
        <r>
          <rPr>
            <b/>
            <sz val="9"/>
            <color indexed="81"/>
            <rFont val="Tahoma"/>
            <family val="2"/>
          </rPr>
          <t>Profile Depth</t>
        </r>
        <r>
          <rPr>
            <sz val="9"/>
            <color indexed="81"/>
            <rFont val="Tahoma"/>
            <family val="2"/>
          </rPr>
          <t xml:space="preserve">
Please enter in mm</t>
        </r>
      </text>
    </comment>
    <comment ref="K71" authorId="0" shapeId="0" xr:uid="{00000000-0006-0000-0000-0000AB010000}">
      <text>
        <r>
          <rPr>
            <b/>
            <sz val="9"/>
            <color indexed="81"/>
            <rFont val="Tahoma"/>
            <family val="2"/>
          </rPr>
          <t>Accessories Finish</t>
        </r>
        <r>
          <rPr>
            <sz val="9"/>
            <color indexed="81"/>
            <rFont val="Tahoma"/>
            <family val="2"/>
          </rPr>
          <t xml:space="preserve">
Eg. Brushed, polished etc.</t>
        </r>
      </text>
    </comment>
    <comment ref="Y71" authorId="0" shapeId="0" xr:uid="{00000000-0006-0000-0000-0000AC010000}">
      <text>
        <r>
          <rPr>
            <b/>
            <sz val="9"/>
            <color indexed="81"/>
            <rFont val="Tahoma"/>
            <family val="2"/>
          </rPr>
          <t>Labour Per Piece Total</t>
        </r>
      </text>
    </comment>
    <comment ref="AB71" authorId="0" shapeId="0" xr:uid="{00000000-0006-0000-0000-0000AD010000}">
      <text>
        <r>
          <rPr>
            <b/>
            <sz val="9"/>
            <color indexed="81"/>
            <rFont val="Tahoma"/>
            <family val="2"/>
          </rPr>
          <t>Cost Subtotal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2" authorId="0" shapeId="0" xr:uid="{00000000-0006-0000-0000-0000AE010000}">
      <text>
        <r>
          <rPr>
            <b/>
            <sz val="9"/>
            <color indexed="81"/>
            <rFont val="Tahoma"/>
            <family val="2"/>
          </rPr>
          <t>Bangle Diameter</t>
        </r>
        <r>
          <rPr>
            <sz val="9"/>
            <color indexed="81"/>
            <rFont val="Tahoma"/>
            <family val="2"/>
          </rPr>
          <t xml:space="preserve">
Please enter in mm</t>
        </r>
      </text>
    </comment>
    <comment ref="D73" authorId="0" shapeId="0" xr:uid="{00000000-0006-0000-0000-0000AF010000}">
      <text>
        <r>
          <rPr>
            <b/>
            <sz val="9"/>
            <color indexed="81"/>
            <rFont val="Tahoma"/>
            <family val="2"/>
          </rPr>
          <t>Special Orders Smallest Size</t>
        </r>
        <r>
          <rPr>
            <sz val="9"/>
            <color indexed="81"/>
            <rFont val="Tahoma"/>
            <family val="2"/>
          </rPr>
          <t xml:space="preserve">
Please ensure to disclose available metal colours in comment section</t>
        </r>
      </text>
    </comment>
    <comment ref="G73" authorId="0" shapeId="0" xr:uid="{00000000-0006-0000-0000-0000B0010000}">
      <text>
        <r>
          <rPr>
            <b/>
            <sz val="9"/>
            <color indexed="81"/>
            <rFont val="Tahoma"/>
            <family val="2"/>
          </rPr>
          <t>Bangle Hinge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4" authorId="0" shapeId="0" xr:uid="{00000000-0006-0000-0000-0000B1010000}">
      <text>
        <r>
          <rPr>
            <b/>
            <sz val="9"/>
            <color indexed="81"/>
            <rFont val="Tahoma"/>
            <family val="2"/>
          </rPr>
          <t>Bangle Clasp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74" authorId="0" shapeId="0" xr:uid="{00000000-0006-0000-0000-0000B2010000}">
      <text>
        <r>
          <rPr>
            <b/>
            <sz val="9"/>
            <color indexed="81"/>
            <rFont val="Tahoma"/>
            <family val="2"/>
          </rPr>
          <t>Chain Length</t>
        </r>
        <r>
          <rPr>
            <sz val="9"/>
            <color indexed="81"/>
            <rFont val="Tahoma"/>
            <family val="2"/>
          </rPr>
          <t xml:space="preserve">
This is the full length including the clasp</t>
        </r>
      </text>
    </comment>
    <comment ref="N74" authorId="0" shapeId="0" xr:uid="{00000000-0006-0000-0000-0000B3010000}">
      <text>
        <r>
          <rPr>
            <b/>
            <sz val="9"/>
            <color indexed="81"/>
            <rFont val="Tahoma"/>
            <family val="2"/>
          </rPr>
          <t>Chain Thickness</t>
        </r>
        <r>
          <rPr>
            <sz val="9"/>
            <color indexed="81"/>
            <rFont val="Tahoma"/>
            <family val="2"/>
          </rPr>
          <t xml:space="preserve">
Please enter in mm</t>
        </r>
      </text>
    </comment>
    <comment ref="Y74" authorId="0" shapeId="0" xr:uid="{00000000-0006-0000-0000-0000B4010000}">
      <text>
        <r>
          <rPr>
            <b/>
            <sz val="9"/>
            <color indexed="81"/>
            <rFont val="Tahoma"/>
            <family val="2"/>
          </rPr>
          <t>Quote ID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5" authorId="0" shapeId="0" xr:uid="{00000000-0006-0000-0000-0000B5010000}">
      <text>
        <r>
          <rPr>
            <b/>
            <sz val="9"/>
            <color indexed="81"/>
            <rFont val="Tahoma"/>
            <family val="2"/>
          </rPr>
          <t>Special Orders Largest Size</t>
        </r>
        <r>
          <rPr>
            <sz val="9"/>
            <color indexed="81"/>
            <rFont val="Tahoma"/>
            <family val="2"/>
          </rPr>
          <t xml:space="preserve">
Please ensure to disclose available metal colours in the comments section</t>
        </r>
      </text>
    </comment>
    <comment ref="G75" authorId="0" shapeId="0" xr:uid="{00000000-0006-0000-0000-0000B6010000}">
      <text>
        <r>
          <rPr>
            <b/>
            <sz val="9"/>
            <color indexed="81"/>
            <rFont val="Tahoma"/>
            <family val="2"/>
          </rPr>
          <t>Bangle Construction</t>
        </r>
      </text>
    </comment>
    <comment ref="K75" authorId="0" shapeId="0" xr:uid="{00000000-0006-0000-0000-0000B7010000}">
      <text>
        <r>
          <rPr>
            <b/>
            <sz val="9"/>
            <color indexed="81"/>
            <rFont val="Tahoma"/>
            <family val="2"/>
          </rPr>
          <t>Chain Style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75" authorId="0" shapeId="0" xr:uid="{00000000-0006-0000-0000-0000B8010000}">
      <text>
        <r>
          <rPr>
            <b/>
            <sz val="9"/>
            <color indexed="81"/>
            <rFont val="Tahoma"/>
            <family val="2"/>
          </rPr>
          <t>Clasp Type</t>
        </r>
        <r>
          <rPr>
            <sz val="9"/>
            <color indexed="81"/>
            <rFont val="Tahoma"/>
            <family val="2"/>
          </rPr>
          <t xml:space="preserve">
Eg. Parrot, box, spring ring etc. </t>
        </r>
      </text>
    </comment>
    <comment ref="Q75" authorId="0" shapeId="0" xr:uid="{00000000-0006-0000-0000-0000B9010000}">
      <text>
        <r>
          <rPr>
            <b/>
            <sz val="9"/>
            <color indexed="81"/>
            <rFont val="Tahoma"/>
            <family val="2"/>
          </rPr>
          <t>Pieces In Casting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5" authorId="0" shapeId="0" xr:uid="{00000000-0006-0000-0000-0000BA010000}">
      <text>
        <r>
          <rPr>
            <b/>
            <sz val="9"/>
            <color indexed="81"/>
            <rFont val="Tahoma"/>
            <family val="2"/>
          </rPr>
          <t>Quote Ordered Size</t>
        </r>
        <r>
          <rPr>
            <sz val="9"/>
            <color indexed="81"/>
            <rFont val="Tahoma"/>
            <family val="2"/>
          </rPr>
          <t xml:space="preserve">
Select Item type (C50) first</t>
        </r>
      </text>
    </comment>
    <comment ref="G76" authorId="0" shapeId="0" xr:uid="{00000000-0006-0000-0000-0000BB010000}">
      <text>
        <r>
          <rPr>
            <b/>
            <sz val="9"/>
            <color indexed="81"/>
            <rFont val="Tahoma"/>
            <family val="2"/>
          </rPr>
          <t>Bangle Finish</t>
        </r>
        <r>
          <rPr>
            <sz val="9"/>
            <color indexed="81"/>
            <rFont val="Tahoma"/>
            <family val="2"/>
          </rPr>
          <t xml:space="preserve">
Eg. Brushed, polished, miligrain etc.</t>
        </r>
      </text>
    </comment>
    <comment ref="K76" authorId="0" shapeId="0" xr:uid="{00000000-0006-0000-0000-0000BC010000}">
      <text>
        <r>
          <rPr>
            <b/>
            <sz val="9"/>
            <color indexed="81"/>
            <rFont val="Tahoma"/>
            <family val="2"/>
          </rPr>
          <t>Chain Width</t>
        </r>
        <r>
          <rPr>
            <sz val="9"/>
            <color indexed="81"/>
            <rFont val="Tahoma"/>
            <family val="2"/>
          </rPr>
          <t xml:space="preserve">
Please enter in mm</t>
        </r>
      </text>
    </comment>
    <comment ref="N76" authorId="0" shapeId="0" xr:uid="{00000000-0006-0000-0000-0000BD010000}">
      <text>
        <r>
          <rPr>
            <b/>
            <sz val="9"/>
            <color indexed="81"/>
            <rFont val="Tahoma"/>
            <family val="2"/>
          </rPr>
          <t>Chain Construction</t>
        </r>
      </text>
    </comment>
    <comment ref="Y76" authorId="0" shapeId="0" xr:uid="{00000000-0006-0000-0000-0000BE010000}">
      <text>
        <r>
          <rPr>
            <b/>
            <sz val="9"/>
            <color indexed="81"/>
            <rFont val="Tahoma"/>
            <family val="2"/>
          </rPr>
          <t>Quote Ordered Colour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<sst xmlns="http://schemas.openxmlformats.org/spreadsheetml/2006/main" count="879" uniqueCount="728">
  <si>
    <t>Customer</t>
  </si>
  <si>
    <t>Description</t>
  </si>
  <si>
    <t>Size</t>
  </si>
  <si>
    <t>Metal</t>
  </si>
  <si>
    <t>Value</t>
  </si>
  <si>
    <t>Qty</t>
  </si>
  <si>
    <t>Grade</t>
  </si>
  <si>
    <t>Rate/Ct</t>
  </si>
  <si>
    <t>Setting Value</t>
  </si>
  <si>
    <t>Total Value</t>
  </si>
  <si>
    <t>Total Setting Value</t>
  </si>
  <si>
    <t>min size</t>
  </si>
  <si>
    <t>MM</t>
  </si>
  <si>
    <t>Chain</t>
  </si>
  <si>
    <t>SKU</t>
  </si>
  <si>
    <t>Labour</t>
  </si>
  <si>
    <t>COMMENTS</t>
  </si>
  <si>
    <t>Hand Set Micro Split Prong</t>
  </si>
  <si>
    <t>Hand Set Shared Prong</t>
  </si>
  <si>
    <t>Hand Set French Pave</t>
  </si>
  <si>
    <t>Hand Set Centre Claw</t>
  </si>
  <si>
    <t>Hand Set Micro Channel</t>
  </si>
  <si>
    <t>Hand Set Channel</t>
  </si>
  <si>
    <t>Hand Set Flush</t>
  </si>
  <si>
    <t>Hand Set Invisible PC</t>
  </si>
  <si>
    <t>Wax Set Bezel</t>
  </si>
  <si>
    <t>Wax Set Channel</t>
  </si>
  <si>
    <t>Wax Set Flush</t>
  </si>
  <si>
    <t>Wax Set French Pave</t>
  </si>
  <si>
    <t>Wax Set Invisible PC</t>
  </si>
  <si>
    <t>Wax Set Micro Channel</t>
  </si>
  <si>
    <t>Wax Set Micro Pave</t>
  </si>
  <si>
    <t>Wax Set Micro Split Prong</t>
  </si>
  <si>
    <t>Hand Set Prong/Pave/Bead</t>
  </si>
  <si>
    <t>Hand Set Nick In.</t>
  </si>
  <si>
    <t>UP</t>
  </si>
  <si>
    <t>DOWN</t>
  </si>
  <si>
    <t>SIZE RANGE</t>
  </si>
  <si>
    <t>max size</t>
  </si>
  <si>
    <t>Currency</t>
  </si>
  <si>
    <t>Buyer</t>
  </si>
  <si>
    <t>Gold USD</t>
  </si>
  <si>
    <t>Vendor</t>
  </si>
  <si>
    <t>Total Weight</t>
  </si>
  <si>
    <t>Stones</t>
  </si>
  <si>
    <t>Subtotal</t>
  </si>
  <si>
    <t>RTV</t>
  </si>
  <si>
    <t>Price/gram</t>
  </si>
  <si>
    <t>Silver USD</t>
  </si>
  <si>
    <t>Platinum USD</t>
  </si>
  <si>
    <t>Weight</t>
  </si>
  <si>
    <t>Length</t>
  </si>
  <si>
    <t>Chain style</t>
  </si>
  <si>
    <t>Clasp Type</t>
  </si>
  <si>
    <t>Chain width</t>
  </si>
  <si>
    <t>Chain thickness</t>
  </si>
  <si>
    <t>Item Type</t>
  </si>
  <si>
    <t>TOTAL</t>
  </si>
  <si>
    <t>For Rings</t>
  </si>
  <si>
    <t>For Earrings</t>
  </si>
  <si>
    <t>Earring style</t>
  </si>
  <si>
    <t>Clasp/backing</t>
  </si>
  <si>
    <t>Ring size</t>
  </si>
  <si>
    <t>Ring width</t>
  </si>
  <si>
    <t>Shank thickness</t>
  </si>
  <si>
    <t>Special Orders</t>
  </si>
  <si>
    <t>Smallest Size</t>
  </si>
  <si>
    <t>Largest Size</t>
  </si>
  <si>
    <t>For Pendants</t>
  </si>
  <si>
    <t>Width</t>
  </si>
  <si>
    <t>Fixed Costs</t>
  </si>
  <si>
    <t>Ring finish</t>
  </si>
  <si>
    <t>PRODUCT COST TOTAL</t>
  </si>
  <si>
    <t>PRODUCT SPECIFICATIONS</t>
  </si>
  <si>
    <t>For Accessories</t>
  </si>
  <si>
    <t>Product Cost Summary</t>
  </si>
  <si>
    <t>Setting</t>
  </si>
  <si>
    <t>Construction</t>
  </si>
  <si>
    <t>Item Subtotal</t>
  </si>
  <si>
    <t>Exchange</t>
  </si>
  <si>
    <t>Type</t>
  </si>
  <si>
    <t>Finish</t>
  </si>
  <si>
    <t>Setting Rate</t>
  </si>
  <si>
    <t>Variable Costs</t>
  </si>
  <si>
    <t>Setting Description</t>
  </si>
  <si>
    <t>Date</t>
  </si>
  <si>
    <t>Style Code</t>
  </si>
  <si>
    <t>Finding</t>
  </si>
  <si>
    <t>Weight Tolerance</t>
  </si>
  <si>
    <t>Unit</t>
  </si>
  <si>
    <t>Other Costs</t>
  </si>
  <si>
    <t>Total Qty</t>
  </si>
  <si>
    <t>Side Stones</t>
  </si>
  <si>
    <t>Shape</t>
  </si>
  <si>
    <t>Center Stones</t>
  </si>
  <si>
    <t>Pricing Type</t>
  </si>
  <si>
    <t>Labour per piece</t>
  </si>
  <si>
    <t>Labour/ gram</t>
  </si>
  <si>
    <t>Total</t>
  </si>
  <si>
    <t>Code</t>
  </si>
  <si>
    <t>10 K YELLOW</t>
  </si>
  <si>
    <t>10 K WHITE</t>
  </si>
  <si>
    <t>PLATINUM</t>
  </si>
  <si>
    <t>14 K WHITE</t>
  </si>
  <si>
    <t>14 K YELLOW</t>
  </si>
  <si>
    <t>18 K WHITE</t>
  </si>
  <si>
    <t>22 K WHITE</t>
  </si>
  <si>
    <t>SILVER</t>
  </si>
  <si>
    <t>PEAR</t>
  </si>
  <si>
    <t>SETTING DESCRIPTION</t>
  </si>
  <si>
    <t>Wax Set Nick In.</t>
  </si>
  <si>
    <t>Wax Set Prong/Pave/Bead</t>
  </si>
  <si>
    <t>Wax Set Shared Prong</t>
  </si>
  <si>
    <t>METAL</t>
  </si>
  <si>
    <t>10 K ROSE</t>
  </si>
  <si>
    <t>14 K ROSE</t>
  </si>
  <si>
    <t>18 K YELLOW</t>
  </si>
  <si>
    <t>18 K ROSE</t>
  </si>
  <si>
    <t>22 K YELLOW</t>
  </si>
  <si>
    <t>22 K ROSE</t>
  </si>
  <si>
    <t>CHAIN STYLE</t>
  </si>
  <si>
    <t xml:space="preserve">CURB </t>
  </si>
  <si>
    <t>FIGARO</t>
  </si>
  <si>
    <t>BELCHER</t>
  </si>
  <si>
    <t>BOX</t>
  </si>
  <si>
    <t>ROLO</t>
  </si>
  <si>
    <t>SNAKE</t>
  </si>
  <si>
    <t>CABLE</t>
  </si>
  <si>
    <t>HERRINGBONE</t>
  </si>
  <si>
    <t>FISHBONE</t>
  </si>
  <si>
    <t>OTHER</t>
  </si>
  <si>
    <t>EARRING STYLE</t>
  </si>
  <si>
    <t>STUD</t>
  </si>
  <si>
    <t>HOOP</t>
  </si>
  <si>
    <t>HUGGIE</t>
  </si>
  <si>
    <t>DROP</t>
  </si>
  <si>
    <t>THREAD</t>
  </si>
  <si>
    <t>SLEEPER</t>
  </si>
  <si>
    <t>CLIMBER</t>
  </si>
  <si>
    <t>JACKET</t>
  </si>
  <si>
    <t>CHAIN TYPE</t>
  </si>
  <si>
    <t>NO CHAIN</t>
  </si>
  <si>
    <t>SATIN CORD</t>
  </si>
  <si>
    <t>GOLD PLATED SILVER</t>
  </si>
  <si>
    <t>10K CHAIN</t>
  </si>
  <si>
    <t>14K CHAIN</t>
  </si>
  <si>
    <t>18K CHAIN</t>
  </si>
  <si>
    <t>STONE SHAPE</t>
  </si>
  <si>
    <t>OVAL</t>
  </si>
  <si>
    <t>PRINCESS</t>
  </si>
  <si>
    <t>CUSHION</t>
  </si>
  <si>
    <t>EMERALD</t>
  </si>
  <si>
    <t>MARQUISE</t>
  </si>
  <si>
    <t>Stone</t>
  </si>
  <si>
    <t>I</t>
  </si>
  <si>
    <t>BUYER</t>
  </si>
  <si>
    <t>P</t>
  </si>
  <si>
    <t>D</t>
  </si>
  <si>
    <t>A</t>
  </si>
  <si>
    <t>F</t>
  </si>
  <si>
    <t>H</t>
  </si>
  <si>
    <t>BAGUETTE</t>
  </si>
  <si>
    <t>R</t>
  </si>
  <si>
    <t>STONE TYPE</t>
  </si>
  <si>
    <t>CUBIC ZIRCONIA</t>
  </si>
  <si>
    <t>MORGANITE</t>
  </si>
  <si>
    <t>TANZANITE</t>
  </si>
  <si>
    <t>GARNET</t>
  </si>
  <si>
    <t>AMETHYST</t>
  </si>
  <si>
    <t>CITRINE</t>
  </si>
  <si>
    <t>SPINEL</t>
  </si>
  <si>
    <t>TOURMALINE</t>
  </si>
  <si>
    <t>TOPAZ</t>
  </si>
  <si>
    <t>PERIDOT</t>
  </si>
  <si>
    <t>ONYX</t>
  </si>
  <si>
    <t>O</t>
  </si>
  <si>
    <t>Z</t>
  </si>
  <si>
    <t>U</t>
  </si>
  <si>
    <t>For Bangles</t>
  </si>
  <si>
    <t>Profile Depth</t>
  </si>
  <si>
    <t>Profile width</t>
  </si>
  <si>
    <t>Diameter</t>
  </si>
  <si>
    <t>Hinge?</t>
  </si>
  <si>
    <t>Country of Origin</t>
  </si>
  <si>
    <t>Minimum Order Qty</t>
  </si>
  <si>
    <t>Åland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</si>
  <si>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</si>
  <si>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</si>
  <si>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</si>
  <si>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</si>
  <si>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</si>
  <si>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</si>
  <si>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</si>
  <si>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</si>
  <si>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</si>
  <si>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</si>
  <si>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</si>
  <si>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</si>
  <si>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</si>
  <si>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</si>
  <si>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</si>
  <si>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</si>
  <si>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</si>
  <si>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</si>
  <si>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</si>
  <si>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</si>
  <si>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</si>
  <si>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</si>
  <si>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</si>
  <si>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</si>
  <si>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</si>
  <si>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</si>
  <si>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</si>
  <si>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</si>
  <si>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</si>
  <si>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</si>
  <si>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</si>
  <si>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</si>
  <si>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</si>
  <si>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</si>
  <si>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</si>
  <si>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</si>
  <si>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</si>
  <si>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</si>
  <si>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</si>
  <si>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</si>
  <si>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</si>
  <si>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</si>
  <si>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 (NP)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</si>
  <si>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</si>
  <si>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</si>
  <si>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</si>
  <si>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</si>
  <si>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</si>
  <si>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</si>
  <si>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</si>
  <si>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</si>
  <si>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</si>
  <si>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</si>
  <si>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</si>
  <si>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</si>
  <si>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</si>
  <si>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</si>
  <si>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</si>
  <si>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</si>
  <si>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</si>
  <si>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</si>
  <si>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</si>
  <si>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</si>
  <si>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</si>
  <si>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</si>
  <si>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</si>
  <si>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</si>
  <si>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</si>
  <si>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</si>
  <si>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</si>
  <si>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</si>
  <si>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</si>
  <si>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</si>
  <si>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</si>
  <si>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</si>
  <si>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</si>
  <si>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</si>
  <si>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</si>
  <si>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</si>
  <si>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</si>
  <si>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</si>
  <si>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</si>
  <si>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</si>
  <si>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</si>
  <si>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</si>
  <si>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</si>
  <si>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</si>
  <si>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</si>
  <si>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</si>
  <si>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</si>
  <si>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</si>
  <si>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</si>
  <si>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</si>
  <si>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</si>
  <si>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</si>
  <si>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</si>
  <si>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</si>
  <si>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</si>
  <si>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</si>
  <si>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</si>
  <si>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</si>
  <si>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</si>
  <si>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</si>
  <si>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</si>
  <si>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</si>
  <si>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</si>
  <si>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</si>
  <si>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</si>
  <si>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</si>
  <si>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</si>
  <si>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</si>
  <si>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</si>
  <si>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</si>
  <si>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</si>
  <si>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</si>
  <si>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</si>
  <si>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</si>
  <si>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</si>
  <si>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</si>
  <si>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</si>
  <si>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</si>
  <si>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</si>
  <si>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</si>
  <si>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</si>
  <si>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</si>
  <si>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</si>
  <si>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</si>
  <si>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</si>
  <si>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</si>
  <si>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</si>
  <si>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</si>
  <si>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</si>
  <si>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</si>
  <si>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</si>
  <si>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</si>
  <si>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</si>
  <si>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</si>
  <si>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</si>
  <si>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</si>
  <si>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</si>
  <si>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</si>
  <si>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</si>
  <si>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</si>
  <si>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</si>
  <si>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</si>
  <si>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</si>
  <si>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</si>
  <si>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</si>
  <si>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</si>
  <si>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</si>
  <si>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</si>
  <si>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</si>
  <si>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</si>
  <si>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</si>
  <si>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</si>
  <si>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</si>
  <si>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</si>
  <si>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</si>
  <si>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</si>
  <si>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</si>
  <si>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</si>
  <si>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</si>
  <si>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</si>
  <si>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</si>
  <si>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</si>
  <si>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</si>
  <si>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</si>
  <si>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</si>
  <si>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</si>
  <si>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</si>
  <si>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</si>
  <si>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</si>
  <si>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</si>
  <si>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</si>
  <si>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</si>
  <si>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</si>
  <si>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</si>
  <si>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</si>
  <si>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</si>
  <si>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</si>
  <si>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</si>
  <si>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</si>
  <si>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</si>
  <si>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</si>
  <si>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</si>
  <si>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</si>
  <si>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</si>
  <si>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</si>
  <si>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</si>
  <si>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</si>
  <si>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</si>
  <si>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</si>
  <si>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</si>
  <si>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</si>
  <si>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</si>
  <si>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</si>
  <si>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</si>
  <si>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</si>
  <si>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</si>
  <si>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</si>
  <si>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</si>
  <si>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</si>
  <si>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</si>
  <si>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</si>
  <si>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</si>
  <si>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</si>
  <si>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</si>
  <si>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</si>
  <si>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</si>
  <si>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</si>
  <si>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</si>
  <si>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</si>
  <si>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</si>
  <si>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</si>
  <si>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</si>
  <si>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</si>
  <si>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</si>
  <si>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</si>
  <si>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</si>
  <si>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</si>
  <si>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</si>
  <si>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</si>
  <si>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</si>
  <si>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</si>
  <si>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</si>
  <si>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</si>
  <si>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</si>
  <si>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</si>
  <si>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</si>
  <si>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</si>
  <si>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</si>
  <si>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</si>
  <si>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</si>
  <si>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</si>
  <si>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</si>
  <si>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</si>
  <si>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</si>
  <si>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</si>
  <si>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Afghanistan</t>
  </si>
  <si>
    <t>Mariana Islands</t>
  </si>
  <si>
    <t>Johnston Island</t>
  </si>
  <si>
    <t>Midway Islands</t>
  </si>
  <si>
    <t>Wake Island</t>
  </si>
  <si>
    <t>Australia (NP)</t>
  </si>
  <si>
    <t>New Zealand (NP)</t>
  </si>
  <si>
    <t>United States (NP)</t>
  </si>
  <si>
    <t>Canada (NP)</t>
  </si>
  <si>
    <t>Thailand (NP)</t>
  </si>
  <si>
    <t>Indonesia (NP)</t>
  </si>
  <si>
    <t>China (CHAFTA)</t>
  </si>
  <si>
    <t>B</t>
  </si>
  <si>
    <t>C</t>
  </si>
  <si>
    <t>E</t>
  </si>
  <si>
    <t>G</t>
  </si>
  <si>
    <t>J</t>
  </si>
  <si>
    <t>K</t>
  </si>
  <si>
    <t>L</t>
  </si>
  <si>
    <t>M</t>
  </si>
  <si>
    <t>N</t>
  </si>
  <si>
    <t>Q</t>
  </si>
  <si>
    <t>S</t>
  </si>
  <si>
    <t>T</t>
  </si>
  <si>
    <t>V</t>
  </si>
  <si>
    <t>W</t>
  </si>
  <si>
    <t>X</t>
  </si>
  <si>
    <t>Y</t>
  </si>
  <si>
    <t>Z1</t>
  </si>
  <si>
    <t>Z2</t>
  </si>
  <si>
    <t>Z3</t>
  </si>
  <si>
    <t>Z4</t>
  </si>
  <si>
    <t>Z5</t>
  </si>
  <si>
    <t>Z6</t>
  </si>
  <si>
    <t>Z7</t>
  </si>
  <si>
    <t>DIAMOND (NAT)</t>
  </si>
  <si>
    <t>DIAMOND (LAB)</t>
  </si>
  <si>
    <t>Is Family?</t>
  </si>
  <si>
    <t>Special Order Surcharge</t>
  </si>
  <si>
    <t>Treatment</t>
  </si>
  <si>
    <t>Resize Guidelines</t>
  </si>
  <si>
    <t>AQUAMARINE</t>
  </si>
  <si>
    <t>CFW PEARL</t>
  </si>
  <si>
    <t>CRE EMERALD</t>
  </si>
  <si>
    <t>JADE</t>
  </si>
  <si>
    <t>NAT EMERALD</t>
  </si>
  <si>
    <t>NATURAL OPAL</t>
  </si>
  <si>
    <t>CREATED OPAL</t>
  </si>
  <si>
    <t>QUARTZ</t>
  </si>
  <si>
    <t>RHOD GARNET</t>
  </si>
  <si>
    <t>CREATED RUBY</t>
  </si>
  <si>
    <t>NATURAL RUBY</t>
  </si>
  <si>
    <t>CRE SAPPHIRE</t>
  </si>
  <si>
    <t>NAT SAPPHIRE</t>
  </si>
  <si>
    <t>STH SEA PEARL</t>
  </si>
  <si>
    <t>TAHITAN PEARL</t>
  </si>
  <si>
    <t>Number of pieces in  casting</t>
  </si>
  <si>
    <t>Rate/piece</t>
  </si>
  <si>
    <t xml:space="preserve">Findings Pricing Type  </t>
  </si>
  <si>
    <t>MINIMUM WEIGHT</t>
  </si>
  <si>
    <t>Loss (%)</t>
  </si>
  <si>
    <t>For Special Order Quotes Only</t>
  </si>
  <si>
    <t>Ordered Colour</t>
  </si>
  <si>
    <t>Quote ID</t>
  </si>
  <si>
    <t>Ordered Size</t>
  </si>
  <si>
    <t>A 1/2</t>
  </si>
  <si>
    <t>B 1/2</t>
  </si>
  <si>
    <t xml:space="preserve">C 1/2 </t>
  </si>
  <si>
    <t>D 1/2</t>
  </si>
  <si>
    <t>E 1/2</t>
  </si>
  <si>
    <t>F 1/2</t>
  </si>
  <si>
    <t>G 1/2</t>
  </si>
  <si>
    <t>H 1/2</t>
  </si>
  <si>
    <t>I 1/2</t>
  </si>
  <si>
    <t>J 1/2</t>
  </si>
  <si>
    <t>K 1/2</t>
  </si>
  <si>
    <t>L 1/2</t>
  </si>
  <si>
    <t>M 1/2</t>
  </si>
  <si>
    <t>N 1/2</t>
  </si>
  <si>
    <t>O 1/2</t>
  </si>
  <si>
    <t>P 1/2</t>
  </si>
  <si>
    <t>Q 1/2</t>
  </si>
  <si>
    <t>R 1/2</t>
  </si>
  <si>
    <t>S 1/2</t>
  </si>
  <si>
    <t>T 1/2</t>
  </si>
  <si>
    <t>U 1/2</t>
  </si>
  <si>
    <t>V 1/2</t>
  </si>
  <si>
    <t>W 1/2</t>
  </si>
  <si>
    <t>X 1/2</t>
  </si>
  <si>
    <t>Y 1/2</t>
  </si>
  <si>
    <t>Z 1/2</t>
  </si>
  <si>
    <t>Z1 1/2</t>
  </si>
  <si>
    <t>Z2 1/2</t>
  </si>
  <si>
    <t>Z3 1/2</t>
  </si>
  <si>
    <t>Z4 1/2</t>
  </si>
  <si>
    <t>Z5 1/2</t>
  </si>
  <si>
    <t>Z6 1/2</t>
  </si>
  <si>
    <t>Z7 1/2</t>
  </si>
  <si>
    <t>Z8</t>
  </si>
  <si>
    <t>Z8 1/2</t>
  </si>
  <si>
    <t>Z9</t>
  </si>
  <si>
    <t>Z9 1/2</t>
  </si>
  <si>
    <t>Z10</t>
  </si>
  <si>
    <t>CASTING</t>
  </si>
  <si>
    <t>1 piece</t>
  </si>
  <si>
    <t>2 pieces</t>
  </si>
  <si>
    <t>3 pieces</t>
  </si>
  <si>
    <t>4 pieces</t>
  </si>
  <si>
    <t>5 pieces</t>
  </si>
  <si>
    <t>6 pieces</t>
  </si>
  <si>
    <t>7 pieces</t>
  </si>
  <si>
    <t>8 pieces</t>
  </si>
  <si>
    <t>9 pieces</t>
  </si>
  <si>
    <t>10 pieces</t>
  </si>
  <si>
    <t>11 pieces</t>
  </si>
  <si>
    <t>12 pieces</t>
  </si>
  <si>
    <t>13 pieces</t>
  </si>
  <si>
    <t>14 pieces</t>
  </si>
  <si>
    <t>15 pieces</t>
  </si>
  <si>
    <t>16 pieces</t>
  </si>
  <si>
    <t>17 pieces</t>
  </si>
  <si>
    <t>18 pieces</t>
  </si>
  <si>
    <t>19 pieces</t>
  </si>
  <si>
    <t>20 pieces</t>
  </si>
  <si>
    <t>21 pieces</t>
  </si>
  <si>
    <t>22 pieces</t>
  </si>
  <si>
    <t>23 pieces</t>
  </si>
  <si>
    <t>24 pieces</t>
  </si>
  <si>
    <t>25 pieces</t>
  </si>
  <si>
    <t>26 pieces</t>
  </si>
  <si>
    <t>27 pieces</t>
  </si>
  <si>
    <t>28 pieces</t>
  </si>
  <si>
    <t>29 pieces</t>
  </si>
  <si>
    <t>30 pieces</t>
  </si>
  <si>
    <t>31 pieces</t>
  </si>
  <si>
    <t>32 pieces</t>
  </si>
  <si>
    <t>33 pieces</t>
  </si>
  <si>
    <t>34 pieces</t>
  </si>
  <si>
    <t>35 pieces</t>
  </si>
  <si>
    <t>GREY</t>
  </si>
  <si>
    <t>PLAT/ROSE</t>
  </si>
  <si>
    <t>PLAT/WHT</t>
  </si>
  <si>
    <t>PLAT/YEL</t>
  </si>
  <si>
    <t>ROS/PLAT</t>
  </si>
  <si>
    <t>ROS/SILVER</t>
  </si>
  <si>
    <t>ROS/WHITE</t>
  </si>
  <si>
    <t>ROS/YELLOW</t>
  </si>
  <si>
    <t>ROSE</t>
  </si>
  <si>
    <t>ROSE/RH</t>
  </si>
  <si>
    <t>ROSsh/YbWh</t>
  </si>
  <si>
    <t>SIL/ROSE</t>
  </si>
  <si>
    <t>SIL/WHITE</t>
  </si>
  <si>
    <t>SIL/YELLOW</t>
  </si>
  <si>
    <t>WHITE</t>
  </si>
  <si>
    <t>WHT/PLAT</t>
  </si>
  <si>
    <t>WHT/ROSE</t>
  </si>
  <si>
    <t>WHT/YEL/RS</t>
  </si>
  <si>
    <t>WHT/YELLOW</t>
  </si>
  <si>
    <t>WHTsh/YbWh</t>
  </si>
  <si>
    <t>YEL/PLAT</t>
  </si>
  <si>
    <t>YEL/ROSE</t>
  </si>
  <si>
    <t>YEL/SIL/RS</t>
  </si>
  <si>
    <t>YEL/SILVER</t>
  </si>
  <si>
    <t>YEL/WHITE</t>
  </si>
  <si>
    <t>YEL/WHT/RS</t>
  </si>
  <si>
    <t>YELLOW</t>
  </si>
  <si>
    <t>YELLOW/RH</t>
  </si>
  <si>
    <t>YELsh/YbWh</t>
  </si>
  <si>
    <t>S.O COLOURS</t>
  </si>
  <si>
    <t>BLACK</t>
  </si>
  <si>
    <t>CHAIN</t>
  </si>
  <si>
    <t>60mm</t>
  </si>
  <si>
    <t>61mm</t>
  </si>
  <si>
    <t>62mm</t>
  </si>
  <si>
    <t>63mm</t>
  </si>
  <si>
    <t>64mm</t>
  </si>
  <si>
    <t>65mm</t>
  </si>
  <si>
    <t>66mm</t>
  </si>
  <si>
    <t>67mm</t>
  </si>
  <si>
    <t>68mm</t>
  </si>
  <si>
    <t>69mm</t>
  </si>
  <si>
    <t>70mm</t>
  </si>
  <si>
    <t>71mm</t>
  </si>
  <si>
    <t>72mm</t>
  </si>
  <si>
    <t>73mm</t>
  </si>
  <si>
    <t>74mm</t>
  </si>
  <si>
    <t>75mm</t>
  </si>
  <si>
    <t>EARRING</t>
  </si>
  <si>
    <t>UNDEFINED</t>
  </si>
  <si>
    <t>BANGLE</t>
  </si>
  <si>
    <t>RING</t>
  </si>
  <si>
    <t>PENDANT</t>
  </si>
  <si>
    <t>ACCESSORY</t>
  </si>
  <si>
    <t>13cm</t>
  </si>
  <si>
    <t>14cm</t>
  </si>
  <si>
    <t>15cm</t>
  </si>
  <si>
    <t>16cm</t>
  </si>
  <si>
    <t>17cm</t>
  </si>
  <si>
    <t>18cm</t>
  </si>
  <si>
    <t>19cm</t>
  </si>
  <si>
    <t>20cm</t>
  </si>
  <si>
    <t>21cm</t>
  </si>
  <si>
    <t>22cm</t>
  </si>
  <si>
    <t>23cm</t>
  </si>
  <si>
    <t>24cm</t>
  </si>
  <si>
    <t>25cm</t>
  </si>
  <si>
    <t>26cm</t>
  </si>
  <si>
    <t>27cm</t>
  </si>
  <si>
    <t>28cm</t>
  </si>
  <si>
    <t>34cm</t>
  </si>
  <si>
    <t>35cm</t>
  </si>
  <si>
    <t>36cm</t>
  </si>
  <si>
    <t>37cm</t>
  </si>
  <si>
    <t>38cm</t>
  </si>
  <si>
    <t>39cm</t>
  </si>
  <si>
    <t>40cm</t>
  </si>
  <si>
    <t>41cm</t>
  </si>
  <si>
    <t>42cm</t>
  </si>
  <si>
    <t>43cm</t>
  </si>
  <si>
    <t>44cm</t>
  </si>
  <si>
    <t>45cm</t>
  </si>
  <si>
    <t>46cm</t>
  </si>
  <si>
    <t>47cm</t>
  </si>
  <si>
    <t>48cm</t>
  </si>
  <si>
    <t>49cm</t>
  </si>
  <si>
    <t>50cm</t>
  </si>
  <si>
    <t>51cm</t>
  </si>
  <si>
    <t>52cm</t>
  </si>
  <si>
    <t>53cm</t>
  </si>
  <si>
    <t>54cm</t>
  </si>
  <si>
    <t>55cm</t>
  </si>
  <si>
    <t>COO LONG LIST</t>
  </si>
  <si>
    <t>COO SHORT LIST</t>
  </si>
  <si>
    <t xml:space="preserve">Turkey </t>
  </si>
  <si>
    <t>See Full List</t>
  </si>
  <si>
    <t>59mm</t>
  </si>
  <si>
    <t>58mm</t>
  </si>
  <si>
    <t>57mm</t>
  </si>
  <si>
    <t>56mm</t>
  </si>
  <si>
    <t>55mm</t>
  </si>
  <si>
    <t>54mm</t>
  </si>
  <si>
    <t>53mm</t>
  </si>
  <si>
    <t>52mm</t>
  </si>
  <si>
    <t>51mm</t>
  </si>
  <si>
    <t>50mm</t>
  </si>
  <si>
    <t>56cm</t>
  </si>
  <si>
    <t>57cm</t>
  </si>
  <si>
    <t>58cm</t>
  </si>
  <si>
    <t>59cm</t>
  </si>
  <si>
    <t>60cm</t>
  </si>
  <si>
    <t>61cm</t>
  </si>
  <si>
    <t>62cm</t>
  </si>
  <si>
    <t>63cm</t>
  </si>
  <si>
    <t>64cm</t>
  </si>
  <si>
    <t>65cm</t>
  </si>
  <si>
    <t>66cm</t>
  </si>
  <si>
    <t>67cm</t>
  </si>
  <si>
    <t>68cm</t>
  </si>
  <si>
    <t>69cm</t>
  </si>
  <si>
    <t>70cm</t>
  </si>
  <si>
    <t>71cm</t>
  </si>
  <si>
    <t>72cm</t>
  </si>
  <si>
    <t>73cm</t>
  </si>
  <si>
    <t>74cm</t>
  </si>
  <si>
    <t>75cm</t>
  </si>
  <si>
    <t>Totals</t>
  </si>
  <si>
    <t>ASSCHER</t>
  </si>
  <si>
    <t>CARRE</t>
  </si>
  <si>
    <t>COMPOSITE</t>
  </si>
  <si>
    <t>HEART</t>
  </si>
  <si>
    <t>RADIANT</t>
  </si>
  <si>
    <t>ROUND BRILLIANT</t>
  </si>
  <si>
    <t>SOUTHERN STAR</t>
  </si>
  <si>
    <t>TRILLION</t>
  </si>
  <si>
    <t>Cast &amp; Finishing</t>
  </si>
  <si>
    <t>Rhodium</t>
  </si>
  <si>
    <t>Certificate Charges</t>
  </si>
  <si>
    <t>SINGAPORE</t>
  </si>
  <si>
    <t>For Chains/Bracelets/Anklets</t>
  </si>
  <si>
    <t>BEAD</t>
  </si>
  <si>
    <t>BRACELET/ANKLET</t>
  </si>
  <si>
    <t>ROPE</t>
  </si>
  <si>
    <t>Variable Weight</t>
  </si>
  <si>
    <t>USD</t>
  </si>
  <si>
    <t>Rate/Pc</t>
  </si>
  <si>
    <t>Ngaire Preo</t>
  </si>
  <si>
    <t>Inge Clements</t>
  </si>
  <si>
    <t>Natasha McDonough</t>
  </si>
  <si>
    <t>Donna Sturla</t>
  </si>
  <si>
    <t>INTERGOLD (I) PVT LTD</t>
  </si>
  <si>
    <t>INDIA</t>
  </si>
  <si>
    <t>Dollars</t>
  </si>
  <si>
    <t>Yes</t>
  </si>
  <si>
    <t>N/A</t>
  </si>
  <si>
    <t>Ring</t>
  </si>
  <si>
    <t>Polished</t>
  </si>
  <si>
    <t>10 K</t>
  </si>
  <si>
    <t>DETAIL COST BREAKOUT 2022</t>
  </si>
  <si>
    <t>-</t>
  </si>
  <si>
    <t>E-VVS-LGD-NON SCS</t>
  </si>
  <si>
    <t xml:space="preserve">Special order colour range  
1)YELLOW         3)WHITE         4)PINK             
Single tone design not possible in two tone
Rhodium
E-VVS-LGD-NON SCS- NON IGI
</t>
  </si>
  <si>
    <t>NO</t>
  </si>
  <si>
    <t>L-RG-84927-150</t>
  </si>
  <si>
    <t>10KT 1.50 TDW ANNIVERSARY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</si>
</sst>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[$-409]mmmm\ d\,\ yyyy;@"/>
    <numFmt numFmtId="166" formatCode="&quot;$&quot;#,##0.00"/>
    <numFmt numFmtId="167" formatCode="0.000"/>
    <numFmt numFmtId="168" formatCode="0.0000"/>
    <numFmt numFmtId="169" formatCode="_-[$€-2]\ * #,##0.00_-;\-[$€-2]\ * #,##0.00_-;_-[$€-2]\ * &quot;-&quot;??_-;_-@_-"/>
    <numFmt numFmtId="170" formatCode="_-[$€-2]\ * #,##0.0000_-;\-[$€-2]\ * #,##0.0000_-;_-[$€-2]\ * &quot;-&quot;??_-;_-@_-"/>
  </numFmts>
  <fonts count="4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1"/>
      <name val="Arial Narrow"/>
      <family val="2"/>
    </font>
    <font>
      <sz val="9"/>
      <color theme="1"/>
      <name val="Arial"/>
      <family val="2"/>
    </font>
    <font>
      <sz val="11"/>
      <name val="Times New Roman"/>
      <family val="1"/>
    </font>
    <font>
      <sz val="11"/>
      <name val="Arial Narrow"/>
      <family val="2"/>
    </font>
    <font>
      <sz val="11"/>
      <color theme="1"/>
      <name val="Arial Narrow"/>
      <family val="2"/>
    </font>
    <font>
      <sz val="11"/>
      <color theme="0"/>
      <name val="Arial Narrow"/>
      <family val="2"/>
    </font>
    <font>
      <b/>
      <sz val="14"/>
      <name val="Arial Narrow"/>
      <family val="2"/>
    </font>
    <font>
      <b/>
      <sz val="20"/>
      <name val="Arial Narrow"/>
      <family val="2"/>
    </font>
    <font>
      <b/>
      <sz val="12"/>
      <name val="Arial Narrow"/>
      <family val="2"/>
    </font>
    <font>
      <sz val="11"/>
      <name val="Calibri"/>
      <family val="2"/>
    </font>
    <font>
      <b/>
      <sz val="11"/>
      <color rgb="FFC00000"/>
      <name val="Arial Narrow"/>
      <family val="2"/>
    </font>
    <font>
      <sz val="11"/>
      <color rgb="FFC00000"/>
      <name val="Times New Roman"/>
      <family val="1"/>
    </font>
    <font>
      <b/>
      <sz val="16"/>
      <name val="Arial Narrow"/>
      <family val="2"/>
    </font>
    <font>
      <sz val="16"/>
      <name val="Arial Narrow"/>
      <family val="2"/>
    </font>
    <font>
      <sz val="11"/>
      <color rgb="FFFF0000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name val="Arial Narrow"/>
      <family val="2"/>
    </font>
    <font>
      <b/>
      <sz val="11"/>
      <color theme="1"/>
      <name val="Arial Narrow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7CFE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2C8DE"/>
        <bgColor indexed="64"/>
      </patternFill>
    </fill>
    <fill>
      <patternFill patternType="solid">
        <fgColor rgb="FF002060"/>
        <bgColor indexed="64"/>
      </patternFill>
    </fill>
  </fills>
  <borders count="7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8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6" fillId="0" borderId="0"/>
    <xf numFmtId="0" fontId="23" fillId="0" borderId="0"/>
    <xf numFmtId="0" fontId="2" fillId="0" borderId="0"/>
    <xf numFmtId="0" fontId="1" fillId="23" borderId="7" applyNumberFormat="0" applyFont="0" applyAlignment="0" applyProtection="0"/>
    <xf numFmtId="0" fontId="17" fillId="20" borderId="8" applyNumberFormat="0" applyAlignment="0" applyProtection="0"/>
    <xf numFmtId="9" fontId="2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286">
    <xf numFmtId="0" fontId="0" fillId="0" borderId="0" xfId="0"/>
    <xf numFmtId="0" fontId="25" fillId="0" borderId="0" xfId="0" applyFont="1"/>
    <xf numFmtId="0" fontId="25" fillId="0" borderId="0" xfId="41" applyFont="1"/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25" borderId="57" xfId="0" applyFont="1" applyFill="1" applyBorder="1"/>
    <xf numFmtId="169" fontId="25" fillId="25" borderId="51" xfId="0" applyNumberFormat="1" applyFont="1" applyFill="1" applyBorder="1" applyAlignment="1">
      <alignment horizontal="center"/>
    </xf>
    <xf numFmtId="169" fontId="25" fillId="25" borderId="46" xfId="0" applyNumberFormat="1" applyFont="1" applyFill="1" applyBorder="1" applyAlignment="1">
      <alignment horizontal="center"/>
    </xf>
    <xf numFmtId="0" fontId="25" fillId="0" borderId="57" xfId="0" applyFont="1" applyBorder="1" applyAlignment="1">
      <alignment horizontal="center"/>
    </xf>
    <xf numFmtId="0" fontId="22" fillId="26" borderId="0" xfId="0" applyFont="1" applyFill="1"/>
    <xf numFmtId="0" fontId="25" fillId="26" borderId="0" xfId="0" applyFont="1" applyFill="1" applyAlignment="1">
      <alignment vertical="center"/>
    </xf>
    <xf numFmtId="0" fontId="25" fillId="26" borderId="0" xfId="0" applyFont="1" applyFill="1"/>
    <xf numFmtId="0" fontId="25" fillId="26" borderId="34" xfId="0" applyFont="1" applyFill="1" applyBorder="1"/>
    <xf numFmtId="0" fontId="22" fillId="26" borderId="0" xfId="0" applyFont="1" applyFill="1" applyAlignment="1">
      <alignment horizontal="center"/>
    </xf>
    <xf numFmtId="166" fontId="25" fillId="26" borderId="0" xfId="0" applyNumberFormat="1" applyFont="1" applyFill="1"/>
    <xf numFmtId="0" fontId="25" fillId="26" borderId="0" xfId="0" applyFont="1" applyFill="1" applyProtection="1">
      <protection hidden="1"/>
    </xf>
    <xf numFmtId="2" fontId="22" fillId="26" borderId="0" xfId="0" applyNumberFormat="1" applyFont="1" applyFill="1"/>
    <xf numFmtId="168" fontId="25" fillId="26" borderId="0" xfId="0" applyNumberFormat="1" applyFont="1" applyFill="1" applyAlignment="1">
      <alignment horizontal="left"/>
    </xf>
    <xf numFmtId="168" fontId="25" fillId="26" borderId="0" xfId="0" applyNumberFormat="1" applyFont="1" applyFill="1"/>
    <xf numFmtId="0" fontId="25" fillId="26" borderId="0" xfId="0" applyFont="1" applyFill="1" applyAlignment="1">
      <alignment horizontal="right"/>
    </xf>
    <xf numFmtId="0" fontId="25" fillId="26" borderId="0" xfId="41" applyFont="1" applyFill="1" applyAlignment="1">
      <alignment horizontal="right"/>
    </xf>
    <xf numFmtId="166" fontId="22" fillId="26" borderId="0" xfId="0" applyNumberFormat="1" applyFont="1" applyFill="1"/>
    <xf numFmtId="0" fontId="22" fillId="26" borderId="28" xfId="0" applyFont="1" applyFill="1" applyBorder="1"/>
    <xf numFmtId="169" fontId="25" fillId="27" borderId="36" xfId="0" applyNumberFormat="1" applyFont="1" applyFill="1" applyBorder="1"/>
    <xf numFmtId="169" fontId="25" fillId="27" borderId="24" xfId="0" applyNumberFormat="1" applyFont="1" applyFill="1" applyBorder="1" applyAlignment="1">
      <alignment horizontal="center"/>
    </xf>
    <xf numFmtId="169" fontId="25" fillId="27" borderId="62" xfId="0" applyNumberFormat="1" applyFont="1" applyFill="1" applyBorder="1"/>
    <xf numFmtId="169" fontId="25" fillId="27" borderId="58" xfId="0" applyNumberFormat="1" applyFont="1" applyFill="1" applyBorder="1" applyAlignment="1">
      <alignment horizontal="center"/>
    </xf>
    <xf numFmtId="0" fontId="22" fillId="25" borderId="57" xfId="0" applyFont="1" applyFill="1" applyBorder="1" applyAlignment="1" applyProtection="1">
      <alignment horizontal="center"/>
      <protection hidden="1"/>
    </xf>
    <xf numFmtId="0" fontId="26" fillId="26" borderId="0" xfId="41" applyFont="1" applyFill="1" applyAlignment="1">
      <alignment vertical="center" wrapText="1"/>
    </xf>
    <xf numFmtId="169" fontId="22" fillId="25" borderId="57" xfId="0" applyNumberFormat="1" applyFont="1" applyFill="1" applyBorder="1" applyAlignment="1">
      <alignment horizontal="center"/>
    </xf>
    <xf numFmtId="169" fontId="22" fillId="25" borderId="30" xfId="0" applyNumberFormat="1" applyFont="1" applyFill="1" applyBorder="1" applyAlignment="1">
      <alignment horizontal="center"/>
    </xf>
    <xf numFmtId="169" fontId="25" fillId="0" borderId="58" xfId="0" applyNumberFormat="1" applyFont="1" applyBorder="1" applyAlignment="1">
      <alignment horizontal="center"/>
    </xf>
    <xf numFmtId="169" fontId="25" fillId="0" borderId="20" xfId="0" applyNumberFormat="1" applyFont="1" applyBorder="1" applyAlignment="1">
      <alignment horizontal="center"/>
    </xf>
    <xf numFmtId="0" fontId="22" fillId="25" borderId="37" xfId="0" applyFont="1" applyFill="1" applyBorder="1" applyAlignment="1">
      <alignment horizontal="center"/>
    </xf>
    <xf numFmtId="169" fontId="22" fillId="25" borderId="57" xfId="0" applyNumberFormat="1" applyFont="1" applyFill="1" applyBorder="1" applyAlignment="1">
      <alignment horizontal="right"/>
    </xf>
    <xf numFmtId="0" fontId="1" fillId="0" borderId="0" xfId="0" applyFont="1"/>
    <xf numFmtId="169" fontId="25" fillId="26" borderId="0" xfId="0" applyNumberFormat="1" applyFont="1" applyFill="1"/>
    <xf numFmtId="169" fontId="25" fillId="26" borderId="0" xfId="0" applyNumberFormat="1" applyFont="1" applyFill="1" applyAlignment="1">
      <alignment horizontal="center"/>
    </xf>
    <xf numFmtId="0" fontId="25" fillId="26" borderId="0" xfId="0" applyFont="1" applyFill="1" applyAlignment="1">
      <alignment horizontal="center"/>
    </xf>
    <xf numFmtId="0" fontId="25" fillId="27" borderId="36" xfId="0" applyFont="1" applyFill="1" applyBorder="1" applyAlignment="1" applyProtection="1">
      <alignment horizontal="center"/>
      <protection hidden="1"/>
    </xf>
    <xf numFmtId="165" fontId="22" fillId="26" borderId="0" xfId="28" applyNumberFormat="1" applyFont="1" applyFill="1" applyBorder="1" applyAlignment="1" applyProtection="1">
      <alignment vertical="center"/>
    </xf>
    <xf numFmtId="9" fontId="22" fillId="0" borderId="77" xfId="0" applyNumberFormat="1" applyFont="1" applyBorder="1" applyAlignment="1">
      <alignment horizontal="center" vertical="center"/>
    </xf>
    <xf numFmtId="0" fontId="25" fillId="27" borderId="57" xfId="0" applyFont="1" applyFill="1" applyBorder="1" applyAlignment="1">
      <alignment horizontal="right"/>
    </xf>
    <xf numFmtId="0" fontId="22" fillId="25" borderId="48" xfId="0" applyFont="1" applyFill="1" applyBorder="1" applyAlignment="1">
      <alignment horizontal="center"/>
    </xf>
    <xf numFmtId="0" fontId="22" fillId="25" borderId="18" xfId="0" applyFont="1" applyFill="1" applyBorder="1" applyAlignment="1">
      <alignment horizontal="right" vertical="center"/>
    </xf>
    <xf numFmtId="0" fontId="22" fillId="25" borderId="19" xfId="0" applyFont="1" applyFill="1" applyBorder="1" applyAlignment="1">
      <alignment horizontal="right" vertical="center"/>
    </xf>
    <xf numFmtId="0" fontId="22" fillId="25" borderId="23" xfId="0" applyFont="1" applyFill="1" applyBorder="1" applyAlignment="1">
      <alignment horizontal="right" vertical="center"/>
    </xf>
    <xf numFmtId="0" fontId="22" fillId="25" borderId="36" xfId="0" applyFont="1" applyFill="1" applyBorder="1" applyAlignment="1">
      <alignment horizontal="right" vertical="center"/>
    </xf>
    <xf numFmtId="0" fontId="22" fillId="25" borderId="19" xfId="0" applyFont="1" applyFill="1" applyBorder="1" applyAlignment="1" applyProtection="1">
      <alignment horizontal="right" vertical="center"/>
      <protection hidden="1"/>
    </xf>
    <xf numFmtId="0" fontId="31" fillId="0" borderId="0" xfId="0" applyFont="1" applyAlignment="1">
      <alignment wrapText="1"/>
    </xf>
    <xf numFmtId="169" fontId="22" fillId="26" borderId="0" xfId="0" applyNumberFormat="1" applyFont="1" applyFill="1" applyAlignment="1">
      <alignment horizontal="center"/>
    </xf>
    <xf numFmtId="0" fontId="25" fillId="27" borderId="57" xfId="0" applyFont="1" applyFill="1" applyBorder="1" applyAlignment="1" applyProtection="1">
      <alignment horizontal="center"/>
      <protection hidden="1"/>
    </xf>
    <xf numFmtId="2" fontId="22" fillId="26" borderId="0" xfId="0" applyNumberFormat="1" applyFont="1" applyFill="1" applyAlignment="1">
      <alignment horizontal="center"/>
    </xf>
    <xf numFmtId="169" fontId="22" fillId="26" borderId="0" xfId="0" applyNumberFormat="1" applyFont="1" applyFill="1" applyAlignment="1">
      <alignment horizontal="right"/>
    </xf>
    <xf numFmtId="170" fontId="25" fillId="27" borderId="57" xfId="0" applyNumberFormat="1" applyFont="1" applyFill="1" applyBorder="1" applyAlignment="1">
      <alignment horizontal="center"/>
    </xf>
    <xf numFmtId="0" fontId="22" fillId="26" borderId="0" xfId="0" applyFont="1" applyFill="1" applyAlignment="1" applyProtection="1">
      <alignment horizontal="right" vertical="center"/>
      <protection hidden="1"/>
    </xf>
    <xf numFmtId="0" fontId="22" fillId="25" borderId="57" xfId="0" applyFont="1" applyFill="1" applyBorder="1" applyAlignment="1">
      <alignment horizontal="right" vertical="center"/>
    </xf>
    <xf numFmtId="169" fontId="25" fillId="27" borderId="57" xfId="0" applyNumberFormat="1" applyFont="1" applyFill="1" applyBorder="1" applyAlignment="1">
      <alignment horizontal="center"/>
    </xf>
    <xf numFmtId="0" fontId="22" fillId="25" borderId="57" xfId="0" applyFont="1" applyFill="1" applyBorder="1" applyAlignment="1">
      <alignment horizontal="center"/>
    </xf>
    <xf numFmtId="0" fontId="22" fillId="25" borderId="59" xfId="0" applyFont="1" applyFill="1" applyBorder="1" applyAlignment="1">
      <alignment horizontal="center"/>
    </xf>
    <xf numFmtId="0" fontId="25" fillId="26" borderId="0" xfId="41" applyFont="1" applyFill="1" applyAlignment="1">
      <alignment horizontal="left"/>
    </xf>
    <xf numFmtId="167" fontId="25" fillId="26" borderId="0" xfId="0" applyNumberFormat="1" applyFont="1" applyFill="1" applyAlignment="1">
      <alignment horizontal="center"/>
    </xf>
    <xf numFmtId="0" fontId="22" fillId="25" borderId="47" xfId="0" applyFont="1" applyFill="1" applyBorder="1" applyAlignment="1">
      <alignment horizontal="center"/>
    </xf>
    <xf numFmtId="0" fontId="24" fillId="0" borderId="0" xfId="0" applyFont="1"/>
    <xf numFmtId="0" fontId="22" fillId="26" borderId="0" xfId="0" applyFont="1" applyFill="1" applyAlignment="1">
      <alignment vertical="center"/>
    </xf>
    <xf numFmtId="0" fontId="25" fillId="0" borderId="0" xfId="0" applyFont="1" applyAlignment="1">
      <alignment vertical="center" wrapText="1"/>
    </xf>
    <xf numFmtId="0" fontId="22" fillId="25" borderId="19" xfId="0" applyFont="1" applyFill="1" applyBorder="1" applyAlignment="1">
      <alignment horizontal="right" vertical="center" wrapText="1"/>
    </xf>
    <xf numFmtId="164" fontId="22" fillId="27" borderId="36" xfId="28" applyFont="1" applyFill="1" applyBorder="1" applyAlignment="1" applyProtection="1">
      <alignment vertical="center"/>
    </xf>
    <xf numFmtId="164" fontId="22" fillId="26" borderId="0" xfId="28" applyFont="1" applyFill="1" applyBorder="1" applyAlignment="1" applyProtection="1">
      <alignment vertical="center"/>
    </xf>
    <xf numFmtId="0" fontId="33" fillId="26" borderId="0" xfId="0" applyFont="1" applyFill="1"/>
    <xf numFmtId="0" fontId="22" fillId="26" borderId="0" xfId="0" applyFont="1" applyFill="1" applyAlignment="1">
      <alignment horizontal="center" vertical="center"/>
    </xf>
    <xf numFmtId="169" fontId="32" fillId="25" borderId="24" xfId="0" applyNumberFormat="1" applyFont="1" applyFill="1" applyBorder="1" applyAlignment="1">
      <alignment horizontal="center"/>
    </xf>
    <xf numFmtId="169" fontId="32" fillId="26" borderId="0" xfId="0" applyNumberFormat="1" applyFont="1" applyFill="1" applyAlignment="1">
      <alignment horizontal="center"/>
    </xf>
    <xf numFmtId="10" fontId="22" fillId="26" borderId="0" xfId="28" applyNumberFormat="1" applyFont="1" applyFill="1" applyBorder="1" applyAlignment="1" applyProtection="1">
      <alignment horizontal="center" vertical="center"/>
    </xf>
    <xf numFmtId="169" fontId="25" fillId="25" borderId="20" xfId="0" applyNumberFormat="1" applyFont="1" applyFill="1" applyBorder="1" applyAlignment="1">
      <alignment horizontal="center"/>
    </xf>
    <xf numFmtId="169" fontId="25" fillId="25" borderId="58" xfId="0" applyNumberFormat="1" applyFont="1" applyFill="1" applyBorder="1" applyAlignment="1">
      <alignment horizontal="center"/>
    </xf>
    <xf numFmtId="0" fontId="24" fillId="26" borderId="0" xfId="0" applyFont="1" applyFill="1"/>
    <xf numFmtId="0" fontId="24" fillId="26" borderId="0" xfId="0" applyFont="1" applyFill="1" applyAlignment="1">
      <alignment horizontal="center"/>
    </xf>
    <xf numFmtId="0" fontId="22" fillId="25" borderId="57" xfId="0" applyFont="1" applyFill="1" applyBorder="1" applyAlignment="1">
      <alignment horizontal="center" vertical="center"/>
    </xf>
    <xf numFmtId="0" fontId="22" fillId="25" borderId="56" xfId="0" applyFont="1" applyFill="1" applyBorder="1" applyAlignment="1">
      <alignment horizontal="center" vertical="center"/>
    </xf>
    <xf numFmtId="0" fontId="25" fillId="26" borderId="0" xfId="0" applyFont="1" applyFill="1" applyAlignment="1">
      <alignment horizontal="left"/>
    </xf>
    <xf numFmtId="169" fontId="25" fillId="27" borderId="59" xfId="28" applyNumberFormat="1" applyFont="1" applyFill="1" applyBorder="1" applyProtection="1"/>
    <xf numFmtId="169" fontId="25" fillId="27" borderId="57" xfId="0" applyNumberFormat="1" applyFont="1" applyFill="1" applyBorder="1"/>
    <xf numFmtId="0" fontId="25" fillId="26" borderId="0" xfId="0" applyFont="1" applyFill="1" applyAlignment="1">
      <alignment horizontal="left" indent="1"/>
    </xf>
    <xf numFmtId="0" fontId="25" fillId="26" borderId="73" xfId="0" applyFont="1" applyFill="1" applyBorder="1" applyAlignment="1">
      <alignment horizontal="center"/>
    </xf>
    <xf numFmtId="167" fontId="25" fillId="26" borderId="0" xfId="0" applyNumberFormat="1" applyFont="1" applyFill="1" applyAlignment="1">
      <alignment horizontal="right"/>
    </xf>
    <xf numFmtId="0" fontId="27" fillId="0" borderId="0" xfId="0" applyFont="1"/>
    <xf numFmtId="2" fontId="25" fillId="26" borderId="0" xfId="0" applyNumberFormat="1" applyFont="1" applyFill="1" applyAlignment="1">
      <alignment horizontal="center"/>
    </xf>
    <xf numFmtId="0" fontId="27" fillId="0" borderId="0" xfId="0" applyFont="1" applyAlignment="1">
      <alignment horizontal="center"/>
    </xf>
    <xf numFmtId="0" fontId="22" fillId="25" borderId="24" xfId="0" applyFont="1" applyFill="1" applyBorder="1" applyAlignment="1">
      <alignment horizontal="center"/>
    </xf>
    <xf numFmtId="0" fontId="25" fillId="27" borderId="21" xfId="0" applyFont="1" applyFill="1" applyBorder="1" applyAlignment="1">
      <alignment horizontal="right"/>
    </xf>
    <xf numFmtId="169" fontId="25" fillId="0" borderId="20" xfId="0" applyNumberFormat="1" applyFont="1" applyBorder="1"/>
    <xf numFmtId="0" fontId="25" fillId="27" borderId="52" xfId="0" applyFont="1" applyFill="1" applyBorder="1" applyAlignment="1">
      <alignment horizontal="right"/>
    </xf>
    <xf numFmtId="0" fontId="22" fillId="25" borderId="33" xfId="0" applyFont="1" applyFill="1" applyBorder="1" applyAlignment="1">
      <alignment horizontal="right"/>
    </xf>
    <xf numFmtId="169" fontId="22" fillId="25" borderId="30" xfId="0" applyNumberFormat="1" applyFont="1" applyFill="1" applyBorder="1"/>
    <xf numFmtId="0" fontId="25" fillId="27" borderId="22" xfId="0" applyFont="1" applyFill="1" applyBorder="1" applyAlignment="1">
      <alignment horizontal="right"/>
    </xf>
    <xf numFmtId="0" fontId="25" fillId="0" borderId="57" xfId="0" applyFont="1" applyBorder="1" applyAlignment="1">
      <alignment horizontal="center" vertical="center"/>
    </xf>
    <xf numFmtId="0" fontId="25" fillId="0" borderId="57" xfId="0" applyFont="1" applyBorder="1"/>
    <xf numFmtId="0" fontId="25" fillId="0" borderId="57" xfId="0" applyFont="1" applyBorder="1" applyAlignment="1" applyProtection="1">
      <alignment horizontal="center"/>
      <protection locked="0" hidden="1"/>
    </xf>
    <xf numFmtId="0" fontId="25" fillId="0" borderId="56" xfId="0" applyFont="1" applyBorder="1" applyAlignment="1" applyProtection="1">
      <alignment horizontal="center" vertical="center"/>
      <protection locked="0"/>
    </xf>
    <xf numFmtId="169" fontId="25" fillId="0" borderId="57" xfId="0" applyNumberFormat="1" applyFont="1" applyBorder="1" applyProtection="1">
      <protection locked="0"/>
    </xf>
    <xf numFmtId="0" fontId="25" fillId="0" borderId="57" xfId="0" applyFont="1" applyBorder="1" applyAlignment="1" applyProtection="1">
      <alignment horizontal="center"/>
      <protection locked="0"/>
    </xf>
    <xf numFmtId="167" fontId="25" fillId="0" borderId="57" xfId="0" applyNumberFormat="1" applyFont="1" applyBorder="1" applyAlignment="1" applyProtection="1">
      <alignment horizontal="center"/>
      <protection locked="0"/>
    </xf>
    <xf numFmtId="0" fontId="22" fillId="0" borderId="57" xfId="0" applyFont="1" applyBorder="1" applyAlignment="1" applyProtection="1">
      <alignment horizontal="center" vertical="center"/>
      <protection locked="0"/>
    </xf>
    <xf numFmtId="0" fontId="22" fillId="0" borderId="56" xfId="0" applyFont="1" applyBorder="1" applyAlignment="1" applyProtection="1">
      <alignment horizontal="center" vertical="center"/>
      <protection locked="0"/>
    </xf>
    <xf numFmtId="168" fontId="25" fillId="0" borderId="57" xfId="0" applyNumberFormat="1" applyFont="1" applyBorder="1" applyAlignment="1">
      <alignment horizontal="center"/>
    </xf>
    <xf numFmtId="1" fontId="25" fillId="0" borderId="57" xfId="0" applyNumberFormat="1" applyFont="1" applyBorder="1" applyAlignment="1">
      <alignment horizontal="center"/>
    </xf>
    <xf numFmtId="169" fontId="25" fillId="0" borderId="60" xfId="0" applyNumberFormat="1" applyFont="1" applyBorder="1" applyAlignment="1" applyProtection="1">
      <alignment horizontal="center"/>
      <protection locked="0"/>
    </xf>
    <xf numFmtId="0" fontId="22" fillId="25" borderId="60" xfId="0" applyFont="1" applyFill="1" applyBorder="1" applyAlignment="1">
      <alignment horizontal="center"/>
    </xf>
    <xf numFmtId="0" fontId="22" fillId="25" borderId="62" xfId="0" applyFont="1" applyFill="1" applyBorder="1" applyAlignment="1">
      <alignment horizontal="center"/>
    </xf>
    <xf numFmtId="164" fontId="25" fillId="0" borderId="56" xfId="28" applyFont="1" applyFill="1" applyBorder="1" applyAlignment="1" applyProtection="1">
      <alignment horizontal="center"/>
      <protection locked="0"/>
    </xf>
    <xf numFmtId="164" fontId="25" fillId="0" borderId="60" xfId="28" applyFont="1" applyFill="1" applyBorder="1" applyAlignment="1" applyProtection="1">
      <alignment horizontal="center"/>
      <protection locked="0"/>
    </xf>
    <xf numFmtId="167" fontId="25" fillId="0" borderId="57" xfId="0" quotePrefix="1" applyNumberFormat="1" applyFont="1" applyBorder="1" applyAlignment="1" applyProtection="1">
      <alignment horizontal="center"/>
      <protection locked="0"/>
    </xf>
    <xf numFmtId="0" fontId="25" fillId="0" borderId="29" xfId="0" applyFont="1" applyBorder="1" applyAlignment="1">
      <alignment horizontal="center"/>
    </xf>
    <xf numFmtId="169" fontId="25" fillId="0" borderId="59" xfId="0" applyNumberFormat="1" applyFont="1" applyBorder="1" applyAlignment="1" applyProtection="1">
      <alignment horizontal="center"/>
      <protection locked="0"/>
    </xf>
    <xf numFmtId="169" fontId="25" fillId="0" borderId="60" xfId="0" applyNumberFormat="1" applyFont="1" applyBorder="1" applyAlignment="1" applyProtection="1">
      <alignment horizontal="center"/>
      <protection locked="0"/>
    </xf>
    <xf numFmtId="169" fontId="25" fillId="0" borderId="56" xfId="0" applyNumberFormat="1" applyFont="1" applyBorder="1" applyAlignment="1" applyProtection="1">
      <alignment horizontal="center"/>
      <protection locked="0"/>
    </xf>
    <xf numFmtId="0" fontId="25" fillId="0" borderId="68" xfId="0" applyFont="1" applyBorder="1" applyAlignment="1" applyProtection="1">
      <alignment horizontal="center"/>
      <protection locked="0"/>
    </xf>
    <xf numFmtId="0" fontId="25" fillId="0" borderId="57" xfId="0" applyFont="1" applyBorder="1" applyAlignment="1" applyProtection="1">
      <alignment horizontal="center"/>
      <protection locked="0"/>
    </xf>
    <xf numFmtId="0" fontId="25" fillId="0" borderId="61" xfId="0" applyFont="1" applyBorder="1" applyAlignment="1" applyProtection="1">
      <alignment horizontal="center"/>
      <protection locked="0"/>
    </xf>
    <xf numFmtId="0" fontId="25" fillId="0" borderId="60" xfId="0" applyFont="1" applyBorder="1" applyAlignment="1" applyProtection="1">
      <alignment horizontal="center"/>
      <protection locked="0"/>
    </xf>
    <xf numFmtId="0" fontId="25" fillId="0" borderId="56" xfId="0" applyFont="1" applyBorder="1" applyAlignment="1" applyProtection="1">
      <alignment horizontal="center"/>
      <protection locked="0"/>
    </xf>
    <xf numFmtId="1" fontId="25" fillId="0" borderId="57" xfId="0" applyNumberFormat="1" applyFont="1" applyBorder="1" applyAlignment="1" applyProtection="1">
      <alignment horizontal="center"/>
      <protection locked="0"/>
    </xf>
    <xf numFmtId="1" fontId="25" fillId="0" borderId="59" xfId="0" applyNumberFormat="1" applyFont="1" applyBorder="1" applyAlignment="1" applyProtection="1">
      <alignment horizontal="center"/>
      <protection locked="0"/>
    </xf>
    <xf numFmtId="1" fontId="25" fillId="0" borderId="56" xfId="0" applyNumberFormat="1" applyFont="1" applyBorder="1" applyAlignment="1" applyProtection="1">
      <alignment horizontal="center"/>
      <protection locked="0"/>
    </xf>
    <xf numFmtId="167" fontId="25" fillId="0" borderId="57" xfId="0" applyNumberFormat="1" applyFont="1" applyBorder="1" applyAlignment="1" applyProtection="1">
      <alignment horizontal="center"/>
      <protection locked="0"/>
    </xf>
    <xf numFmtId="167" fontId="25" fillId="0" borderId="59" xfId="0" applyNumberFormat="1" applyFont="1" applyBorder="1" applyAlignment="1" applyProtection="1">
      <alignment horizontal="center"/>
      <protection locked="0"/>
    </xf>
    <xf numFmtId="167" fontId="25" fillId="0" borderId="56" xfId="0" applyNumberFormat="1" applyFont="1" applyBorder="1" applyAlignment="1" applyProtection="1">
      <alignment horizontal="center"/>
      <protection locked="0"/>
    </xf>
    <xf numFmtId="168" fontId="25" fillId="0" borderId="59" xfId="0" applyNumberFormat="1" applyFont="1" applyBorder="1" applyAlignment="1" applyProtection="1">
      <alignment horizontal="center"/>
      <protection locked="0"/>
    </xf>
    <xf numFmtId="168" fontId="25" fillId="0" borderId="56" xfId="0" applyNumberFormat="1" applyFont="1" applyBorder="1" applyAlignment="1" applyProtection="1">
      <alignment horizontal="center"/>
      <protection locked="0"/>
    </xf>
    <xf numFmtId="0" fontId="25" fillId="0" borderId="59" xfId="0" applyFont="1" applyBorder="1" applyAlignment="1" applyProtection="1">
      <alignment horizontal="center"/>
      <protection locked="0"/>
    </xf>
    <xf numFmtId="0" fontId="40" fillId="25" borderId="57" xfId="41" applyFont="1" applyFill="1" applyBorder="1" applyAlignment="1">
      <alignment horizontal="center" vertical="center" wrapText="1"/>
    </xf>
    <xf numFmtId="0" fontId="26" fillId="29" borderId="59" xfId="41" applyFont="1" applyFill="1" applyBorder="1" applyAlignment="1">
      <alignment horizontal="right" vertical="center" wrapText="1"/>
    </xf>
    <xf numFmtId="0" fontId="26" fillId="29" borderId="56" xfId="41" applyFont="1" applyFill="1" applyBorder="1" applyAlignment="1">
      <alignment horizontal="right" vertical="center" wrapText="1"/>
    </xf>
    <xf numFmtId="0" fontId="25" fillId="29" borderId="59" xfId="0" applyFont="1" applyFill="1" applyBorder="1" applyAlignment="1">
      <alignment horizontal="right"/>
    </xf>
    <xf numFmtId="0" fontId="25" fillId="29" borderId="56" xfId="0" applyFont="1" applyFill="1" applyBorder="1" applyAlignment="1">
      <alignment horizontal="right"/>
    </xf>
    <xf numFmtId="0" fontId="22" fillId="25" borderId="57" xfId="0" applyFont="1" applyFill="1" applyBorder="1" applyAlignment="1">
      <alignment horizontal="center"/>
    </xf>
    <xf numFmtId="0" fontId="25" fillId="26" borderId="0" xfId="0" applyFont="1" applyFill="1" applyAlignment="1">
      <alignment horizontal="center"/>
    </xf>
    <xf numFmtId="167" fontId="25" fillId="26" borderId="0" xfId="0" applyNumberFormat="1" applyFont="1" applyFill="1" applyAlignment="1">
      <alignment horizontal="center"/>
    </xf>
    <xf numFmtId="0" fontId="22" fillId="25" borderId="47" xfId="0" applyFont="1" applyFill="1" applyBorder="1" applyAlignment="1">
      <alignment horizontal="center"/>
    </xf>
    <xf numFmtId="0" fontId="22" fillId="25" borderId="43" xfId="0" applyFont="1" applyFill="1" applyBorder="1" applyAlignment="1">
      <alignment horizontal="center"/>
    </xf>
    <xf numFmtId="167" fontId="25" fillId="27" borderId="43" xfId="0" applyNumberFormat="1" applyFont="1" applyFill="1" applyBorder="1" applyAlignment="1">
      <alignment horizontal="center"/>
    </xf>
    <xf numFmtId="167" fontId="25" fillId="27" borderId="24" xfId="0" applyNumberFormat="1" applyFont="1" applyFill="1" applyBorder="1" applyAlignment="1">
      <alignment horizontal="center"/>
    </xf>
    <xf numFmtId="0" fontId="22" fillId="25" borderId="59" xfId="0" applyFont="1" applyFill="1" applyBorder="1" applyAlignment="1">
      <alignment horizontal="center"/>
    </xf>
    <xf numFmtId="0" fontId="22" fillId="25" borderId="56" xfId="0" applyFont="1" applyFill="1" applyBorder="1" applyAlignment="1">
      <alignment horizontal="center"/>
    </xf>
    <xf numFmtId="10" fontId="25" fillId="0" borderId="59" xfId="0" applyNumberFormat="1" applyFont="1" applyBorder="1" applyAlignment="1" applyProtection="1">
      <alignment horizontal="center"/>
      <protection locked="0"/>
    </xf>
    <xf numFmtId="10" fontId="25" fillId="0" borderId="56" xfId="0" applyNumberFormat="1" applyFont="1" applyBorder="1" applyAlignment="1" applyProtection="1">
      <alignment horizontal="center"/>
      <protection locked="0"/>
    </xf>
    <xf numFmtId="0" fontId="24" fillId="26" borderId="0" xfId="0" applyFont="1" applyFill="1" applyAlignment="1">
      <alignment horizontal="center"/>
    </xf>
    <xf numFmtId="2" fontId="22" fillId="25" borderId="57" xfId="0" applyNumberFormat="1" applyFont="1" applyFill="1" applyBorder="1" applyAlignment="1">
      <alignment horizontal="center"/>
    </xf>
    <xf numFmtId="0" fontId="22" fillId="25" borderId="52" xfId="0" applyFont="1" applyFill="1" applyBorder="1" applyAlignment="1">
      <alignment horizontal="center"/>
    </xf>
    <xf numFmtId="0" fontId="25" fillId="27" borderId="59" xfId="0" applyFont="1" applyFill="1" applyBorder="1" applyAlignment="1">
      <alignment horizontal="right"/>
    </xf>
    <xf numFmtId="0" fontId="25" fillId="27" borderId="56" xfId="0" applyFont="1" applyFill="1" applyBorder="1" applyAlignment="1">
      <alignment horizontal="right"/>
    </xf>
    <xf numFmtId="0" fontId="25" fillId="27" borderId="53" xfId="0" applyFont="1" applyFill="1" applyBorder="1" applyAlignment="1">
      <alignment horizontal="right"/>
    </xf>
    <xf numFmtId="0" fontId="25" fillId="27" borderId="54" xfId="0" applyFont="1" applyFill="1" applyBorder="1" applyAlignment="1">
      <alignment horizontal="right"/>
    </xf>
    <xf numFmtId="2" fontId="25" fillId="0" borderId="25" xfId="0" applyNumberFormat="1" applyFont="1" applyBorder="1" applyAlignment="1">
      <alignment horizontal="center"/>
    </xf>
    <xf numFmtId="2" fontId="25" fillId="0" borderId="27" xfId="0" applyNumberFormat="1" applyFont="1" applyBorder="1" applyAlignment="1">
      <alignment horizontal="center"/>
    </xf>
    <xf numFmtId="0" fontId="25" fillId="24" borderId="57" xfId="0" applyFont="1" applyFill="1" applyBorder="1" applyAlignment="1" applyProtection="1">
      <alignment horizontal="center"/>
      <protection locked="0"/>
    </xf>
    <xf numFmtId="0" fontId="28" fillId="0" borderId="60" xfId="0" applyFont="1" applyBorder="1" applyAlignment="1">
      <alignment horizontal="left" vertical="center"/>
    </xf>
    <xf numFmtId="0" fontId="29" fillId="0" borderId="0" xfId="0" applyFont="1" applyAlignment="1">
      <alignment horizontal="center"/>
    </xf>
    <xf numFmtId="2" fontId="22" fillId="25" borderId="59" xfId="0" applyNumberFormat="1" applyFont="1" applyFill="1" applyBorder="1" applyAlignment="1">
      <alignment horizontal="center"/>
    </xf>
    <xf numFmtId="2" fontId="22" fillId="25" borderId="56" xfId="0" applyNumberFormat="1" applyFont="1" applyFill="1" applyBorder="1" applyAlignment="1">
      <alignment horizontal="center"/>
    </xf>
    <xf numFmtId="2" fontId="25" fillId="0" borderId="59" xfId="0" applyNumberFormat="1" applyFont="1" applyBorder="1" applyAlignment="1" applyProtection="1">
      <alignment horizontal="center"/>
      <protection locked="0"/>
    </xf>
    <xf numFmtId="2" fontId="25" fillId="0" borderId="56" xfId="0" applyNumberFormat="1" applyFont="1" applyBorder="1" applyAlignment="1" applyProtection="1">
      <alignment horizontal="center"/>
      <protection locked="0"/>
    </xf>
    <xf numFmtId="0" fontId="22" fillId="0" borderId="31" xfId="0" applyFont="1" applyBorder="1" applyAlignment="1" applyProtection="1">
      <alignment horizontal="center" vertical="center"/>
      <protection locked="0"/>
    </xf>
    <xf numFmtId="0" fontId="22" fillId="0" borderId="32" xfId="0" applyFont="1" applyBorder="1" applyAlignment="1" applyProtection="1">
      <alignment horizontal="center" vertical="center"/>
      <protection locked="0"/>
    </xf>
    <xf numFmtId="0" fontId="22" fillId="0" borderId="45" xfId="0" applyFont="1" applyBorder="1" applyAlignment="1" applyProtection="1">
      <alignment horizontal="center" vertical="center"/>
      <protection locked="0"/>
    </xf>
    <xf numFmtId="0" fontId="22" fillId="0" borderId="59" xfId="0" applyFont="1" applyBorder="1" applyAlignment="1" applyProtection="1">
      <alignment horizontal="center" vertical="center"/>
      <protection locked="0"/>
    </xf>
    <xf numFmtId="0" fontId="22" fillId="0" borderId="60" xfId="0" applyFont="1" applyBorder="1" applyAlignment="1" applyProtection="1">
      <alignment horizontal="center" vertical="center"/>
      <protection locked="0"/>
    </xf>
    <xf numFmtId="0" fontId="22" fillId="0" borderId="56" xfId="0" applyFont="1" applyBorder="1" applyAlignment="1" applyProtection="1">
      <alignment horizontal="center" vertical="center"/>
      <protection locked="0"/>
    </xf>
    <xf numFmtId="0" fontId="22" fillId="0" borderId="57" xfId="0" applyFont="1" applyBorder="1" applyAlignment="1" applyProtection="1">
      <alignment horizontal="center" vertical="center"/>
      <protection locked="0"/>
    </xf>
    <xf numFmtId="0" fontId="22" fillId="0" borderId="59" xfId="0" applyFont="1" applyBorder="1" applyAlignment="1" applyProtection="1">
      <alignment horizontal="center" vertical="center" wrapText="1"/>
      <protection locked="0"/>
    </xf>
    <xf numFmtId="0" fontId="22" fillId="0" borderId="60" xfId="0" applyFont="1" applyBorder="1" applyAlignment="1" applyProtection="1">
      <alignment horizontal="center" vertical="center" wrapText="1"/>
      <protection locked="0"/>
    </xf>
    <xf numFmtId="0" fontId="22" fillId="0" borderId="56" xfId="0" applyFont="1" applyBorder="1" applyAlignment="1" applyProtection="1">
      <alignment horizontal="center" vertical="center" wrapText="1"/>
      <protection locked="0"/>
    </xf>
    <xf numFmtId="0" fontId="22" fillId="25" borderId="29" xfId="0" applyFont="1" applyFill="1" applyBorder="1" applyAlignment="1">
      <alignment horizontal="center"/>
    </xf>
    <xf numFmtId="0" fontId="24" fillId="26" borderId="63" xfId="0" applyFont="1" applyFill="1" applyBorder="1" applyAlignment="1">
      <alignment horizontal="center"/>
    </xf>
    <xf numFmtId="0" fontId="22" fillId="25" borderId="25" xfId="0" applyFont="1" applyFill="1" applyBorder="1" applyAlignment="1">
      <alignment horizontal="center"/>
    </xf>
    <xf numFmtId="0" fontId="22" fillId="25" borderId="26" xfId="0" applyFont="1" applyFill="1" applyBorder="1" applyAlignment="1">
      <alignment horizontal="center"/>
    </xf>
    <xf numFmtId="0" fontId="22" fillId="25" borderId="27" xfId="0" applyFont="1" applyFill="1" applyBorder="1" applyAlignment="1">
      <alignment horizontal="center"/>
    </xf>
    <xf numFmtId="0" fontId="25" fillId="0" borderId="43" xfId="0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22" fillId="25" borderId="55" xfId="0" applyFont="1" applyFill="1" applyBorder="1" applyAlignment="1">
      <alignment horizontal="center"/>
    </xf>
    <xf numFmtId="1" fontId="25" fillId="27" borderId="72" xfId="0" applyNumberFormat="1" applyFont="1" applyFill="1" applyBorder="1" applyAlignment="1">
      <alignment horizontal="center"/>
    </xf>
    <xf numFmtId="1" fontId="25" fillId="27" borderId="27" xfId="0" applyNumberFormat="1" applyFont="1" applyFill="1" applyBorder="1" applyAlignment="1">
      <alignment horizontal="center"/>
    </xf>
    <xf numFmtId="0" fontId="22" fillId="25" borderId="57" xfId="0" applyFont="1" applyFill="1" applyBorder="1" applyAlignment="1">
      <alignment horizontal="center" vertical="center"/>
    </xf>
    <xf numFmtId="1" fontId="22" fillId="25" borderId="57" xfId="0" applyNumberFormat="1" applyFont="1" applyFill="1" applyBorder="1" applyAlignment="1">
      <alignment horizontal="center"/>
    </xf>
    <xf numFmtId="0" fontId="22" fillId="25" borderId="59" xfId="0" applyFont="1" applyFill="1" applyBorder="1" applyAlignment="1" applyProtection="1">
      <alignment horizontal="center"/>
      <protection hidden="1"/>
    </xf>
    <xf numFmtId="0" fontId="22" fillId="25" borderId="56" xfId="0" applyFont="1" applyFill="1" applyBorder="1" applyAlignment="1" applyProtection="1">
      <alignment horizontal="center"/>
      <protection hidden="1"/>
    </xf>
    <xf numFmtId="1" fontId="25" fillId="0" borderId="60" xfId="0" applyNumberFormat="1" applyFont="1" applyBorder="1" applyAlignment="1" applyProtection="1">
      <alignment horizontal="center"/>
      <protection locked="0"/>
    </xf>
    <xf numFmtId="0" fontId="22" fillId="25" borderId="59" xfId="0" applyFont="1" applyFill="1" applyBorder="1" applyAlignment="1" applyProtection="1">
      <alignment horizontal="right"/>
      <protection hidden="1"/>
    </xf>
    <xf numFmtId="0" fontId="22" fillId="25" borderId="60" xfId="0" applyFont="1" applyFill="1" applyBorder="1" applyAlignment="1" applyProtection="1">
      <alignment horizontal="right"/>
      <protection hidden="1"/>
    </xf>
    <xf numFmtId="0" fontId="22" fillId="25" borderId="56" xfId="0" applyFont="1" applyFill="1" applyBorder="1" applyAlignment="1" applyProtection="1">
      <alignment horizontal="right"/>
      <protection hidden="1"/>
    </xf>
    <xf numFmtId="2" fontId="25" fillId="0" borderId="57" xfId="0" applyNumberFormat="1" applyFont="1" applyBorder="1" applyAlignment="1" applyProtection="1">
      <alignment horizontal="center"/>
      <protection locked="0"/>
    </xf>
    <xf numFmtId="0" fontId="22" fillId="0" borderId="59" xfId="0" applyFont="1" applyBorder="1" applyAlignment="1" applyProtection="1">
      <alignment horizontal="center"/>
      <protection hidden="1"/>
    </xf>
    <xf numFmtId="0" fontId="22" fillId="0" borderId="56" xfId="0" applyFont="1" applyBorder="1" applyAlignment="1" applyProtection="1">
      <alignment horizontal="center"/>
      <protection hidden="1"/>
    </xf>
    <xf numFmtId="0" fontId="26" fillId="28" borderId="76" xfId="41" applyFont="1" applyFill="1" applyBorder="1" applyAlignment="1">
      <alignment horizontal="right" vertical="center" wrapText="1"/>
    </xf>
    <xf numFmtId="0" fontId="26" fillId="28" borderId="56" xfId="41" applyFont="1" applyFill="1" applyBorder="1" applyAlignment="1">
      <alignment horizontal="right" vertical="center" wrapText="1"/>
    </xf>
    <xf numFmtId="0" fontId="39" fillId="0" borderId="10" xfId="0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 wrapText="1"/>
    </xf>
    <xf numFmtId="0" fontId="39" fillId="0" borderId="13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0" borderId="14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 wrapText="1"/>
    </xf>
    <xf numFmtId="0" fontId="25" fillId="26" borderId="0" xfId="41" applyFont="1" applyFill="1" applyAlignment="1">
      <alignment horizontal="left"/>
    </xf>
    <xf numFmtId="0" fontId="22" fillId="25" borderId="70" xfId="0" applyFont="1" applyFill="1" applyBorder="1" applyAlignment="1">
      <alignment horizontal="right"/>
    </xf>
    <xf numFmtId="0" fontId="22" fillId="25" borderId="71" xfId="0" applyFont="1" applyFill="1" applyBorder="1" applyAlignment="1">
      <alignment horizontal="right"/>
    </xf>
    <xf numFmtId="167" fontId="25" fillId="0" borderId="59" xfId="0" quotePrefix="1" applyNumberFormat="1" applyFont="1" applyBorder="1" applyAlignment="1" applyProtection="1">
      <alignment horizontal="center"/>
      <protection locked="0"/>
    </xf>
    <xf numFmtId="0" fontId="22" fillId="25" borderId="21" xfId="0" applyFont="1" applyFill="1" applyBorder="1" applyAlignment="1">
      <alignment horizontal="center"/>
    </xf>
    <xf numFmtId="0" fontId="22" fillId="25" borderId="20" xfId="0" applyFont="1" applyFill="1" applyBorder="1" applyAlignment="1">
      <alignment horizontal="center"/>
    </xf>
    <xf numFmtId="0" fontId="22" fillId="25" borderId="61" xfId="0" applyFont="1" applyFill="1" applyBorder="1" applyAlignment="1">
      <alignment horizontal="center"/>
    </xf>
    <xf numFmtId="0" fontId="22" fillId="25" borderId="60" xfId="0" applyFont="1" applyFill="1" applyBorder="1" applyAlignment="1">
      <alignment horizontal="center"/>
    </xf>
    <xf numFmtId="0" fontId="25" fillId="28" borderId="76" xfId="0" applyFont="1" applyFill="1" applyBorder="1" applyAlignment="1">
      <alignment horizontal="right"/>
    </xf>
    <xf numFmtId="0" fontId="25" fillId="28" borderId="56" xfId="0" applyFont="1" applyFill="1" applyBorder="1" applyAlignment="1">
      <alignment horizontal="right"/>
    </xf>
    <xf numFmtId="0" fontId="25" fillId="28" borderId="74" xfId="0" applyFont="1" applyFill="1" applyBorder="1" applyAlignment="1">
      <alignment horizontal="right"/>
    </xf>
    <xf numFmtId="0" fontId="25" fillId="28" borderId="45" xfId="0" applyFont="1" applyFill="1" applyBorder="1" applyAlignment="1">
      <alignment horizontal="right"/>
    </xf>
    <xf numFmtId="9" fontId="30" fillId="27" borderId="59" xfId="0" applyNumberFormat="1" applyFont="1" applyFill="1" applyBorder="1" applyAlignment="1">
      <alignment horizontal="center" vertical="center"/>
    </xf>
    <xf numFmtId="9" fontId="30" fillId="27" borderId="56" xfId="0" applyNumberFormat="1" applyFont="1" applyFill="1" applyBorder="1" applyAlignment="1">
      <alignment horizontal="center" vertical="center"/>
    </xf>
    <xf numFmtId="0" fontId="22" fillId="25" borderId="59" xfId="0" applyFont="1" applyFill="1" applyBorder="1" applyAlignment="1">
      <alignment horizontal="center" vertical="center" wrapText="1"/>
    </xf>
    <xf numFmtId="0" fontId="22" fillId="25" borderId="56" xfId="0" applyFont="1" applyFill="1" applyBorder="1" applyAlignment="1">
      <alignment horizontal="center" vertical="center" wrapText="1"/>
    </xf>
    <xf numFmtId="0" fontId="22" fillId="25" borderId="64" xfId="0" applyFont="1" applyFill="1" applyBorder="1" applyAlignment="1">
      <alignment horizontal="center" vertical="center" wrapText="1"/>
    </xf>
    <xf numFmtId="0" fontId="22" fillId="25" borderId="42" xfId="0" applyFont="1" applyFill="1" applyBorder="1" applyAlignment="1">
      <alignment horizontal="center" vertical="center" wrapText="1"/>
    </xf>
    <xf numFmtId="0" fontId="22" fillId="25" borderId="65" xfId="0" applyFont="1" applyFill="1" applyBorder="1" applyAlignment="1">
      <alignment horizontal="center" vertical="center" wrapText="1"/>
    </xf>
    <xf numFmtId="0" fontId="22" fillId="25" borderId="66" xfId="0" applyFont="1" applyFill="1" applyBorder="1" applyAlignment="1">
      <alignment horizontal="center" vertical="center" wrapText="1"/>
    </xf>
    <xf numFmtId="169" fontId="25" fillId="25" borderId="44" xfId="0" applyNumberFormat="1" applyFont="1" applyFill="1" applyBorder="1" applyAlignment="1">
      <alignment horizontal="center"/>
    </xf>
    <xf numFmtId="169" fontId="25" fillId="25" borderId="69" xfId="0" applyNumberFormat="1" applyFont="1" applyFill="1" applyBorder="1" applyAlignment="1">
      <alignment horizontal="center"/>
    </xf>
    <xf numFmtId="0" fontId="22" fillId="25" borderId="41" xfId="0" applyFont="1" applyFill="1" applyBorder="1" applyAlignment="1">
      <alignment horizontal="right"/>
    </xf>
    <xf numFmtId="0" fontId="22" fillId="25" borderId="42" xfId="0" applyFont="1" applyFill="1" applyBorder="1" applyAlignment="1">
      <alignment horizontal="right"/>
    </xf>
    <xf numFmtId="0" fontId="22" fillId="25" borderId="75" xfId="0" applyFont="1" applyFill="1" applyBorder="1" applyAlignment="1">
      <alignment horizontal="right"/>
    </xf>
    <xf numFmtId="0" fontId="22" fillId="25" borderId="66" xfId="0" applyFont="1" applyFill="1" applyBorder="1" applyAlignment="1">
      <alignment horizontal="right"/>
    </xf>
    <xf numFmtId="0" fontId="22" fillId="30" borderId="59" xfId="0" applyFont="1" applyFill="1" applyBorder="1" applyAlignment="1">
      <alignment horizontal="center" vertical="center"/>
    </xf>
    <xf numFmtId="0" fontId="22" fillId="30" borderId="60" xfId="0" applyFont="1" applyFill="1" applyBorder="1" applyAlignment="1">
      <alignment horizontal="center" vertical="center"/>
    </xf>
    <xf numFmtId="0" fontId="22" fillId="30" borderId="56" xfId="0" applyFont="1" applyFill="1" applyBorder="1" applyAlignment="1">
      <alignment horizontal="center" vertical="center"/>
    </xf>
    <xf numFmtId="0" fontId="22" fillId="27" borderId="59" xfId="0" applyFont="1" applyFill="1" applyBorder="1" applyAlignment="1">
      <alignment horizontal="center" vertical="center"/>
    </xf>
    <xf numFmtId="0" fontId="22" fillId="27" borderId="60" xfId="0" applyFont="1" applyFill="1" applyBorder="1" applyAlignment="1">
      <alignment horizontal="center" vertical="center"/>
    </xf>
    <xf numFmtId="0" fontId="22" fillId="27" borderId="56" xfId="0" applyFont="1" applyFill="1" applyBorder="1" applyAlignment="1">
      <alignment horizontal="center" vertical="center"/>
    </xf>
    <xf numFmtId="165" fontId="22" fillId="27" borderId="57" xfId="28" applyNumberFormat="1" applyFont="1" applyFill="1" applyBorder="1" applyAlignment="1" applyProtection="1">
      <alignment horizontal="center" vertical="center"/>
    </xf>
    <xf numFmtId="0" fontId="22" fillId="25" borderId="25" xfId="0" applyFont="1" applyFill="1" applyBorder="1" applyAlignment="1">
      <alignment horizontal="center" vertical="center"/>
    </xf>
    <xf numFmtId="0" fontId="22" fillId="25" borderId="26" xfId="0" applyFont="1" applyFill="1" applyBorder="1" applyAlignment="1">
      <alignment horizontal="center" vertical="center"/>
    </xf>
    <xf numFmtId="0" fontId="22" fillId="25" borderId="27" xfId="0" applyFont="1" applyFill="1" applyBorder="1" applyAlignment="1">
      <alignment horizontal="center" vertical="center"/>
    </xf>
    <xf numFmtId="0" fontId="32" fillId="25" borderId="25" xfId="0" applyFont="1" applyFill="1" applyBorder="1" applyAlignment="1">
      <alignment horizontal="right"/>
    </xf>
    <xf numFmtId="0" fontId="32" fillId="25" borderId="55" xfId="0" applyFont="1" applyFill="1" applyBorder="1" applyAlignment="1">
      <alignment horizontal="right"/>
    </xf>
    <xf numFmtId="0" fontId="22" fillId="25" borderId="74" xfId="0" applyFont="1" applyFill="1" applyBorder="1" applyAlignment="1">
      <alignment horizontal="right"/>
    </xf>
    <xf numFmtId="0" fontId="22" fillId="25" borderId="45" xfId="0" applyFont="1" applyFill="1" applyBorder="1" applyAlignment="1">
      <alignment horizontal="right"/>
    </xf>
    <xf numFmtId="0" fontId="22" fillId="25" borderId="76" xfId="0" applyFont="1" applyFill="1" applyBorder="1" applyAlignment="1">
      <alignment horizontal="right"/>
    </xf>
    <xf numFmtId="0" fontId="22" fillId="25" borderId="56" xfId="0" applyFont="1" applyFill="1" applyBorder="1" applyAlignment="1">
      <alignment horizontal="right"/>
    </xf>
    <xf numFmtId="0" fontId="22" fillId="25" borderId="39" xfId="0" applyFont="1" applyFill="1" applyBorder="1" applyAlignment="1">
      <alignment horizontal="right"/>
    </xf>
    <xf numFmtId="0" fontId="22" fillId="25" borderId="35" xfId="0" applyFont="1" applyFill="1" applyBorder="1" applyAlignment="1">
      <alignment horizontal="right"/>
    </xf>
    <xf numFmtId="164" fontId="22" fillId="0" borderId="59" xfId="28" applyFont="1" applyFill="1" applyBorder="1" applyAlignment="1" applyProtection="1">
      <alignment horizontal="center" vertical="center"/>
      <protection locked="0"/>
    </xf>
    <xf numFmtId="164" fontId="22" fillId="0" borderId="56" xfId="28" applyFont="1" applyFill="1" applyBorder="1" applyAlignment="1" applyProtection="1">
      <alignment horizontal="center" vertical="center"/>
      <protection locked="0"/>
    </xf>
    <xf numFmtId="0" fontId="25" fillId="27" borderId="57" xfId="0" applyFont="1" applyFill="1" applyBorder="1" applyAlignment="1">
      <alignment horizontal="right"/>
    </xf>
    <xf numFmtId="0" fontId="25" fillId="27" borderId="57" xfId="0" applyFont="1" applyFill="1" applyBorder="1" applyAlignment="1">
      <alignment horizontal="right" vertical="center"/>
    </xf>
    <xf numFmtId="0" fontId="25" fillId="0" borderId="57" xfId="0" applyFont="1" applyBorder="1" applyAlignment="1">
      <alignment horizontal="center" vertical="center" wrapText="1"/>
    </xf>
    <xf numFmtId="0" fontId="25" fillId="27" borderId="64" xfId="0" applyFont="1" applyFill="1" applyBorder="1" applyAlignment="1">
      <alignment horizontal="right" vertical="center"/>
    </xf>
    <xf numFmtId="0" fontId="25" fillId="27" borderId="42" xfId="0" applyFont="1" applyFill="1" applyBorder="1" applyAlignment="1">
      <alignment horizontal="right" vertical="center"/>
    </xf>
    <xf numFmtId="0" fontId="25" fillId="27" borderId="65" xfId="0" applyFont="1" applyFill="1" applyBorder="1" applyAlignment="1">
      <alignment horizontal="right" vertical="center"/>
    </xf>
    <xf numFmtId="0" fontId="25" fillId="27" borderId="66" xfId="0" applyFont="1" applyFill="1" applyBorder="1" applyAlignment="1">
      <alignment horizontal="right" vertical="center"/>
    </xf>
    <xf numFmtId="0" fontId="34" fillId="0" borderId="40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22" fillId="26" borderId="65" xfId="0" applyFont="1" applyFill="1" applyBorder="1" applyAlignment="1">
      <alignment horizontal="center"/>
    </xf>
    <xf numFmtId="0" fontId="22" fillId="26" borderId="67" xfId="0" applyFont="1" applyFill="1" applyBorder="1" applyAlignment="1">
      <alignment horizontal="center"/>
    </xf>
    <xf numFmtId="0" fontId="25" fillId="26" borderId="65" xfId="0" applyFont="1" applyFill="1" applyBorder="1" applyAlignment="1">
      <alignment horizontal="center"/>
    </xf>
    <xf numFmtId="0" fontId="25" fillId="26" borderId="67" xfId="0" applyFont="1" applyFill="1" applyBorder="1" applyAlignment="1">
      <alignment horizontal="center"/>
    </xf>
    <xf numFmtId="0" fontId="22" fillId="25" borderId="53" xfId="0" applyFont="1" applyFill="1" applyBorder="1" applyAlignment="1">
      <alignment horizontal="center"/>
    </xf>
    <xf numFmtId="0" fontId="22" fillId="25" borderId="38" xfId="0" applyFont="1" applyFill="1" applyBorder="1" applyAlignment="1">
      <alignment horizontal="center"/>
    </xf>
    <xf numFmtId="0" fontId="22" fillId="25" borderId="54" xfId="0" applyFont="1" applyFill="1" applyBorder="1" applyAlignment="1">
      <alignment horizontal="center"/>
    </xf>
    <xf numFmtId="0" fontId="25" fillId="0" borderId="57" xfId="0" applyFont="1" applyBorder="1" applyAlignment="1">
      <alignment horizontal="center"/>
    </xf>
    <xf numFmtId="0" fontId="22" fillId="25" borderId="57" xfId="0" applyFont="1" applyFill="1" applyBorder="1" applyAlignment="1">
      <alignment horizontal="center" vertical="center" wrapText="1"/>
    </xf>
    <xf numFmtId="0" fontId="35" fillId="0" borderId="57" xfId="0" applyFont="1" applyBorder="1" applyAlignment="1">
      <alignment horizontal="center" vertical="center"/>
    </xf>
    <xf numFmtId="169" fontId="25" fillId="27" borderId="57" xfId="0" applyNumberFormat="1" applyFont="1" applyFill="1" applyBorder="1" applyAlignment="1">
      <alignment horizontal="center"/>
    </xf>
    <xf numFmtId="0" fontId="22" fillId="25" borderId="49" xfId="0" applyFont="1" applyFill="1" applyBorder="1" applyAlignment="1">
      <alignment horizontal="right"/>
    </xf>
    <xf numFmtId="0" fontId="22" fillId="25" borderId="50" xfId="0" applyFont="1" applyFill="1" applyBorder="1" applyAlignment="1">
      <alignment horizontal="right"/>
    </xf>
    <xf numFmtId="0" fontId="22" fillId="0" borderId="10" xfId="0" applyFont="1" applyBorder="1" applyAlignment="1" applyProtection="1">
      <alignment horizontal="center" vertical="center"/>
      <protection locked="0"/>
    </xf>
    <xf numFmtId="0" fontId="22" fillId="0" borderId="11" xfId="0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6" xfId="0" applyFont="1" applyBorder="1" applyAlignment="1" applyProtection="1">
      <alignment horizontal="center" vertical="center"/>
      <protection locked="0"/>
    </xf>
    <xf numFmtId="0" fontId="22" fillId="0" borderId="17" xfId="0" applyFont="1" applyBorder="1" applyAlignment="1" applyProtection="1">
      <alignment horizontal="center" vertical="center"/>
      <protection locked="0"/>
    </xf>
    <xf numFmtId="169" fontId="25" fillId="0" borderId="57" xfId="0" applyNumberFormat="1" applyFont="1" applyBorder="1" applyAlignment="1" applyProtection="1">
      <alignment horizontal="center"/>
      <protection locked="0"/>
    </xf>
    <xf numFmtId="0" fontId="36" fillId="26" borderId="78" xfId="0" applyFont="1" applyFill="1" applyBorder="1" applyAlignment="1">
      <alignment horizontal="left"/>
    </xf>
    <xf numFmtId="0" fontId="36" fillId="26" borderId="0" xfId="0" applyFont="1" applyFill="1" applyAlignment="1">
      <alignment horizontal="left"/>
    </xf>
  </cellXfs>
  <cellStyles count="4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28" builtinId="4"/>
    <cellStyle name="Currency 2" xfId="29" xr:uid="{00000000-0005-0000-0000-00001C000000}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 2" xfId="39" xr:uid="{00000000-0005-0000-0000-000027000000}"/>
    <cellStyle name="Normal 4" xfId="40" xr:uid="{00000000-0005-0000-0000-000028000000}"/>
    <cellStyle name="Normal_GR2099YE" xfId="41" xr:uid="{00000000-0005-0000-0000-000029000000}"/>
    <cellStyle name="Note" xfId="42" builtinId="10" customBuiltin="1"/>
    <cellStyle name="Output" xfId="43" builtinId="21" customBuiltin="1"/>
    <cellStyle name="Percent 2" xfId="44" xr:uid="{00000000-0005-0000-0000-00002C000000}"/>
    <cellStyle name="Title" xfId="45" builtinId="15" customBuiltin="1"/>
    <cellStyle name="Total" xfId="46" builtinId="25" customBuiltin="1"/>
    <cellStyle name="Warning Text" xfId="47" builtinId="11" customBuiltin="1"/>
  </cellStyles>
  <dxfs count="425">
    <dxf>
      <numFmt numFmtId="169" formatCode="_-[$€-2]\ * #,##0.00_-;\-[$€-2]\ * #,##0.00_-;_-[$€-2]\ * &quot;-&quot;??_-;_-@_-"/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fill>
        <patternFill>
          <bgColor rgb="FFFFFF00"/>
        </patternFill>
      </fill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numFmt numFmtId="169" formatCode="_-[$€-2]\ * #,##0.00_-;\-[$€-2]\ * #,##0.00_-;_-[$€-2]\ * &quot;-&quot;??_-;_-@_-"/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numFmt numFmtId="169" formatCode="_-[$€-2]\ * #,##0.00_-;\-[$€-2]\ * #,##0.00_-;_-[$€-2]\ * &quot;-&quot;??_-;_-@_-"/>
    </dxf>
    <dxf>
      <numFmt numFmtId="171" formatCode="_-&quot;$&quot;* #,##0.00_-;\-&quot;$&quot;* #,##0.00_-;_-&quot;$&quot;* &quot;-&quot;??_-;_-@_-"/>
    </dxf>
    <dxf>
      <numFmt numFmtId="169" formatCode="_-[$€-2]\ * #,##0.00_-;\-[$€-2]\ * #,##0.00_-;_-[$€-2]\ * &quot;-&quot;??_-;_-@_-"/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numFmt numFmtId="169" formatCode="_-[$€-2]\ * #,##0.00_-;\-[$€-2]\ * #,##0.00_-;_-[$€-2]\ * &quot;-&quot;??_-;_-@_-"/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numFmt numFmtId="169" formatCode="_-[$€-2]\ * #,##0.00_-;\-[$€-2]\ * #,##0.00_-;_-[$€-2]\ * &quot;-&quot;??_-;_-@_-"/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numFmt numFmtId="169" formatCode="_-[$€-2]\ * #,##0.00_-;\-[$€-2]\ * #,##0.00_-;_-[$€-2]\ * &quot;-&quot;??_-;_-@_-"/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numFmt numFmtId="169" formatCode="_-[$€-2]\ * #,##0.00_-;\-[$€-2]\ * #,##0.00_-;_-[$€-2]\ * &quot;-&quot;??_-;_-@_-"/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numFmt numFmtId="169" formatCode="_-[$€-2]\ * #,##0.00_-;\-[$€-2]\ * #,##0.00_-;_-[$€-2]\ * &quot;-&quot;??_-;_-@_-"/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71" formatCode="_-&quot;$&quot;* #,##0.00_-;\-&quot;$&quot;* #,##0.00_-;_-&quot;$&quot;* &quot;-&quot;??_-;_-@_-"/>
    </dxf>
    <dxf>
      <fill>
        <patternFill>
          <bgColor rgb="FFFFFF00"/>
        </patternFill>
      </fill>
    </dxf>
    <dxf>
      <numFmt numFmtId="171" formatCode="_-&quot;$&quot;* #,##0.00_-;\-&quot;$&quot;* #,##0.00_-;_-&quot;$&quot;* &quot;-&quot;??_-;_-@_-"/>
    </dxf>
    <dxf>
      <numFmt numFmtId="169" formatCode="_-[$€-2]\ * #,##0.00_-;\-[$€-2]\ * #,##0.00_-;_-[$€-2]\ * &quot;-&quot;??_-;_-@_-"/>
    </dxf>
    <dxf>
      <numFmt numFmtId="171" formatCode="_-&quot;$&quot;* #,##0.00_-;\-&quot;$&quot;* #,##0.00_-;_-&quot;$&quot;* &quot;-&quot;??_-;_-@_-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numFmt numFmtId="169" formatCode="_-[$€-2]\ * #,##0.00_-;\-[$€-2]\ * #,##0.00_-;_-[$€-2]\ * &quot;-&quot;??_-;_-@_-"/>
    </dxf>
    <dxf>
      <numFmt numFmtId="171" formatCode="_-&quot;$&quot;* #,##0.00_-;\-&quot;$&quot;* #,##0.00_-;_-&quot;$&quot;* &quot;-&quot;??_-;_-@_-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numFmt numFmtId="169" formatCode="_-[$€-2]\ * #,##0.00_-;\-[$€-2]\ * #,##0.00_-;_-[$€-2]\ * &quot;-&quot;??_-;_-@_-"/>
    </dxf>
    <dxf>
      <numFmt numFmtId="171" formatCode="_-&quot;$&quot;* #,##0.00_-;\-&quot;$&quot;* #,##0.00_-;_-&quot;$&quot;* &quot;-&quot;??_-;_-@_-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/>
        <color theme="0" tint="-0.499984740745262"/>
      </font>
    </dxf>
    <dxf>
      <font>
        <b val="0"/>
        <i/>
        <color theme="1" tint="0.34998626667073579"/>
      </font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71" formatCode="_-&quot;$&quot;* #,##0.00_-;\-&quot;$&quot;* #,##0.00_-;_-&quot;$&quot;* &quot;-&quot;??_-;_-@_-"/>
    </dxf>
    <dxf>
      <numFmt numFmtId="169" formatCode="_-[$€-2]\ * #,##0.00_-;\-[$€-2]\ * #,##0.00_-;_-[$€-2]\ * &quot;-&quot;??_-;_-@_-"/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numFmt numFmtId="169" formatCode="_-[$€-2]\ * #,##0.00_-;\-[$€-2]\ * #,##0.00_-;_-[$€-2]\ * &quot;-&quot;??_-;_-@_-"/>
    </dxf>
    <dxf>
      <numFmt numFmtId="171" formatCode="_-&quot;$&quot;* #,##0.00_-;\-&quot;$&quot;* #,##0.00_-;_-&quot;$&quot;* &quot;-&quot;??_-;_-@_-"/>
    </dxf>
    <dxf>
      <numFmt numFmtId="171" formatCode="_-&quot;$&quot;* #,##0.00_-;\-&quot;$&quot;* #,##0.00_-;_-&quot;$&quot;* &quot;-&quot;??_-;_-@_-"/>
    </dxf>
    <dxf>
      <numFmt numFmtId="169" formatCode="_-[$€-2]\ * #,##0.00_-;\-[$€-2]\ * #,##0.00_-;_-[$€-2]\ * &quot;-&quot;??_-;_-@_-"/>
    </dxf>
    <dxf>
      <numFmt numFmtId="171" formatCode="_-&quot;$&quot;* #,##0.00_-;\-&quot;$&quot;* #,##0.00_-;_-&quot;$&quot;* &quot;-&quot;??_-;_-@_-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numFmt numFmtId="14" formatCode="0.00%"/>
    </dxf>
    <dxf>
      <numFmt numFmtId="166" formatCode="&quot;$&quot;#,##0.00"/>
    </dxf>
    <dxf>
      <numFmt numFmtId="172" formatCode="&quot;$&quot;#,##0.00;\-&quot;$&quot;#,##0.00"/>
    </dxf>
    <dxf>
      <numFmt numFmtId="172" formatCode="&quot;$&quot;#,##0.00;\-&quot;$&quot;#,##0.00"/>
    </dxf>
    <dxf>
      <numFmt numFmtId="173" formatCode="[$€-2]\ #,##0.00"/>
    </dxf>
    <dxf>
      <numFmt numFmtId="169" formatCode="_-[$€-2]\ * #,##0.00_-;\-[$€-2]\ * #,##0.00_-;_-[$€-2]\ * &quot;-&quot;??_-;_-@_-"/>
    </dxf>
    <dxf>
      <numFmt numFmtId="171" formatCode="_-&quot;$&quot;* #,##0.00_-;\-&quot;$&quot;* #,##0.00_-;_-&quot;$&quot;* &quot;-&quot;??_-;_-@_-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C00000"/>
      </font>
    </dxf>
    <dxf>
      <fill>
        <patternFill>
          <bgColor rgb="FFFFFF00"/>
        </patternFill>
      </fill>
    </dxf>
    <dxf>
      <font>
        <color rgb="FFC00000"/>
      </font>
    </dxf>
    <dxf>
      <font>
        <color rgb="FFC0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C00000"/>
      </font>
    </dxf>
    <dxf>
      <fill>
        <patternFill>
          <bgColor rgb="FFFFFF00"/>
        </patternFill>
      </fill>
    </dxf>
    <dxf>
      <font>
        <color rgb="FFC00000"/>
      </font>
    </dxf>
    <dxf>
      <font>
        <color rgb="FFC00000"/>
      </font>
    </dxf>
    <dxf>
      <fill>
        <patternFill>
          <bgColor rgb="FFFFFF00"/>
        </patternFill>
      </fill>
    </dxf>
    <dxf>
      <font>
        <color rgb="FFC00000"/>
      </font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74" formatCode="&quot;$&quot;#,##0;\-&quot;$&quot;#,##0"/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 patternType="solid"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colors>
    <mruColors>
      <color rgb="FFD7CFE3"/>
      <color rgb="FFD2C8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NULL"/><Relationship Id="rId1" Type="http://schemas.openxmlformats.org/officeDocument/2006/relationships/image" Target="../media/image1.png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742951</xdr:colOff>
      <xdr:row>6</xdr:row>
      <xdr:rowOff>57151</xdr:rowOff>
    </xdr:from>
    <xdr:to>
      <xdr:col>17</xdr:col>
      <xdr:colOff>1</xdr:colOff>
      <xdr:row>6</xdr:row>
      <xdr:rowOff>362294</xdr:rowOff>
    </xdr:to>
    <xdr:pic>
      <xdr:nvPicPr>
        <xdr:cNvPr id="6" name="Picture 5" descr="Privacy Policies and Documents | Michael Hill Australia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/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1" y="1009651"/>
          <a:ext cx="1809749" cy="305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0</xdr:row>
      <xdr:rowOff>104775</xdr:rowOff>
    </xdr:from>
    <xdr:to>
      <xdr:col>5</xdr:col>
      <xdr:colOff>1122007</xdr:colOff>
      <xdr:row>4</xdr:row>
      <xdr:rowOff>57150</xdr:rowOff>
    </xdr:to>
    <xdr:pic>
      <xdr:nvPicPr>
        <xdr:cNvPr id="7" name="Picture 6" descr="Privacy Policies and Documents | Michael Hill Australia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alphaModFix/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04775"/>
          <a:ext cx="3841394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695325</xdr:colOff>
      <xdr:row>9</xdr:row>
      <xdr:rowOff>142875</xdr:rowOff>
    </xdr:from>
    <xdr:to>
      <xdr:col>26</xdr:col>
      <xdr:colOff>400050</xdr:colOff>
      <xdr:row>26</xdr:row>
      <xdr:rowOff>31826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FE4BD4-1231-4E64-A48C-8C102CFA9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15775" y="1914525"/>
          <a:ext cx="2876550" cy="399422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B23" totalsRowShown="0" headerRowDxfId="424" dataDxfId="423">
  <autoFilter ref="B2:B23" xr:uid="{00000000-0009-0000-0100-000001000000}"/>
  <tableColumns count="1">
    <tableColumn id="1" xr3:uid="{00000000-0010-0000-0000-000001000000}" name="SETTING DESCRIPTION" dataDxfId="42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D2:D16" totalsRowShown="0" headerRowDxfId="421" dataDxfId="420">
  <autoFilter ref="D2:D16" xr:uid="{00000000-0009-0000-0100-000002000000}"/>
  <tableColumns count="1">
    <tableColumn id="1" xr3:uid="{00000000-0010-0000-0100-000001000000}" name="METAL" dataDxfId="41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F2:F15" totalsRowShown="0" headerRowDxfId="418" dataDxfId="417">
  <autoFilter ref="F2:F15" xr:uid="{00000000-0009-0000-0100-000003000000}"/>
  <tableColumns count="1">
    <tableColumn id="1" xr3:uid="{00000000-0010-0000-0200-000001000000}" name="CHAIN STYLE" dataDxfId="41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H2:H10" totalsRowShown="0" headerRowDxfId="415" dataDxfId="414">
  <autoFilter ref="H2:H10" xr:uid="{00000000-0009-0000-0100-000005000000}"/>
  <tableColumns count="1">
    <tableColumn id="1" xr3:uid="{00000000-0010-0000-0300-000001000000}" name="EARRING STYLE" dataDxfId="41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J2:J9" totalsRowShown="0" headerRowDxfId="412" dataDxfId="411">
  <autoFilter ref="J2:J9" xr:uid="{00000000-0009-0000-0100-000006000000}"/>
  <tableColumns count="1">
    <tableColumn id="1" xr3:uid="{00000000-0010-0000-0400-000001000000}" name="CHAIN TYPE" dataDxfId="41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7" displayName="Table7" ref="L2:L17" totalsRowShown="0" headerRowDxfId="409" dataDxfId="408">
  <autoFilter ref="L2:L17" xr:uid="{00000000-0009-0000-0100-000007000000}"/>
  <tableColumns count="1">
    <tableColumn id="1" xr3:uid="{00000000-0010-0000-0500-000001000000}" name="STONE SHAPE" dataDxfId="40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e8" displayName="Table8" ref="N2:N8" totalsRowShown="0" headerRowDxfId="406" dataDxfId="405">
  <autoFilter ref="N2:N8" xr:uid="{00000000-0009-0000-0100-000008000000}"/>
  <tableColumns count="1">
    <tableColumn id="1" xr3:uid="{00000000-0010-0000-0600-000001000000}" name="BUYER" dataDxfId="404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le10" displayName="Table10" ref="P2:P30" totalsRowShown="0" headerRowDxfId="403" dataDxfId="402">
  <autoFilter ref="P2:P30" xr:uid="{00000000-0009-0000-0100-00000A000000}"/>
  <tableColumns count="1">
    <tableColumn id="1" xr3:uid="{00000000-0010-0000-0700-000001000000}" name="STONE TYPE" dataDxfId="401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able11" displayName="Table11" ref="T2:T253" totalsRowShown="0" headerRowDxfId="400" dataDxfId="399">
  <autoFilter ref="T2:T253" xr:uid="{00000000-0009-0000-0100-00000B000000}"/>
  <tableColumns count="1">
    <tableColumn id="1" xr3:uid="{00000000-0010-0000-0800-000001000000}" name="COO LONG LIST" dataDxfId="398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Table9" displayName="Table9" ref="V2:V73" totalsRowShown="0" headerRowDxfId="397" dataDxfId="396">
  <autoFilter ref="V2:V73" xr:uid="{00000000-0009-0000-0100-000009000000}"/>
  <tableColumns count="1">
    <tableColumn id="1" xr3:uid="{00000000-0010-0000-0900-000001000000}" name="RING" dataDxfId="395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A000000}" name="Table4" displayName="Table4" ref="X2:X37" totalsRowShown="0">
  <autoFilter ref="X2:X37" xr:uid="{00000000-0009-0000-0100-000004000000}"/>
  <tableColumns count="1">
    <tableColumn id="1" xr3:uid="{00000000-0010-0000-0A00-000001000000}" name="CASTING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Z2:Z34" totalsRowShown="0">
  <autoFilter ref="Z2:Z34" xr:uid="{00000000-0009-0000-0100-00000C000000}"/>
  <tableColumns count="1">
    <tableColumn id="1" xr3:uid="{00000000-0010-0000-0B00-000001000000}" name="S.O COLOUR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B2:AB28" totalsRowShown="0">
  <autoFilter ref="AB2:AB28" xr:uid="{00000000-0009-0000-0100-00000D000000}"/>
  <tableColumns count="1">
    <tableColumn id="1" xr3:uid="{00000000-0010-0000-0C00-000001000000}" name="BANGL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D2:AD3" totalsRowShown="0">
  <autoFilter ref="AD2:AD3" xr:uid="{00000000-0009-0000-0100-00000E000000}"/>
  <tableColumns count="1">
    <tableColumn id="1" xr3:uid="{00000000-0010-0000-0D00-000001000000}" name="EARRING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H2:AH3" totalsRowShown="0">
  <autoFilter ref="AH2:AH3" xr:uid="{00000000-0009-0000-0100-00000F000000}"/>
  <tableColumns count="1">
    <tableColumn id="1" xr3:uid="{00000000-0010-0000-0E00-000001000000}" name="ACCESSORY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F000000}" name="Table17" displayName="Table17" ref="AF2:AF45" totalsRowShown="0">
  <autoFilter ref="AF2:AF45" xr:uid="{00000000-0009-0000-0100-000011000000}"/>
  <tableColumns count="1">
    <tableColumn id="1" xr3:uid="{00000000-0010-0000-0F00-000001000000}" name="PENDANT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0000000}" name="Table18" displayName="Table18" ref="AJ2:AJ44" totalsRowShown="0">
  <autoFilter ref="AJ2:AJ44" xr:uid="{00000000-0009-0000-0100-000012000000}"/>
  <tableColumns count="1">
    <tableColumn id="1" xr3:uid="{00000000-0010-0000-1000-000001000000}" name="CHAIN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1000000}" name="Table19" displayName="Table19" ref="AL2:AL18" totalsRowShown="0">
  <autoFilter ref="AL2:AL18" xr:uid="{00000000-0009-0000-0100-000013000000}"/>
  <tableColumns count="1">
    <tableColumn id="1" xr3:uid="{00000000-0010-0000-1100-000001000000}" name="BRACELET/ANKLET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2000000}" name="Table20" displayName="Table20" ref="R2:R21" totalsRowShown="0" headerRowDxfId="394" dataDxfId="393">
  <autoFilter ref="R2:R21" xr:uid="{00000000-0009-0000-0100-000014000000}"/>
  <tableColumns count="1">
    <tableColumn id="1" xr3:uid="{00000000-0010-0000-1200-000001000000}" name="COO SHORT LIST" dataDxfId="39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6">
    <pageSetUpPr fitToPage="1"/>
  </sheetPr>
  <dimension ref="A1:AM76"/>
  <sheetViews>
    <sheetView showGridLines="0" showZeros="0" tabSelected="1" topLeftCell="A42" zoomScale="80" zoomScaleNormal="80" workbookViewId="0">
      <selection activeCell="D10" sqref="D10:I10"/>
    </sheetView>
  </sheetViews>
  <sheetFormatPr defaultColWidth="9.33203125" defaultRowHeight="13.8" x14ac:dyDescent="0.25"/>
  <cols>
    <col min="1" max="1" width="5" style="64" customWidth="1"/>
    <col min="2" max="2" width="17.33203125" style="64" customWidth="1"/>
    <col min="3" max="3" width="1.6640625" style="64" customWidth="1"/>
    <col min="4" max="4" width="18" style="64" customWidth="1"/>
    <col min="5" max="5" width="1.44140625" style="64" customWidth="1"/>
    <col min="6" max="6" width="19.109375" style="64" customWidth="1"/>
    <col min="7" max="7" width="11" style="64" customWidth="1"/>
    <col min="8" max="8" width="1.5546875" style="64" customWidth="1"/>
    <col min="9" max="9" width="11.33203125" style="64" customWidth="1"/>
    <col min="10" max="10" width="1.5546875" style="64" customWidth="1"/>
    <col min="11" max="11" width="13.33203125" style="64" customWidth="1"/>
    <col min="12" max="12" width="1.5546875" style="64" customWidth="1"/>
    <col min="13" max="13" width="11.44140625" style="64" customWidth="1"/>
    <col min="14" max="14" width="2" style="64" customWidth="1"/>
    <col min="15" max="15" width="10.33203125" style="64" customWidth="1"/>
    <col min="16" max="16" width="6.33203125" style="64" customWidth="1"/>
    <col min="17" max="17" width="8.33203125" style="64" customWidth="1"/>
    <col min="18" max="18" width="12.33203125" style="64" customWidth="1"/>
    <col min="19" max="19" width="2" style="64" customWidth="1"/>
    <col min="20" max="20" width="6.33203125" style="64" customWidth="1"/>
    <col min="21" max="21" width="1.6640625" style="64" customWidth="1"/>
    <col min="22" max="22" width="12" style="64" customWidth="1"/>
    <col min="23" max="23" width="11.33203125" style="64" customWidth="1"/>
    <col min="24" max="24" width="8.6640625" style="64" customWidth="1"/>
    <col min="25" max="25" width="12.6640625" style="64" customWidth="1"/>
    <col min="26" max="26" width="1.6640625" style="64" customWidth="1"/>
    <col min="27" max="28" width="12.33203125" style="64" customWidth="1"/>
    <col min="29" max="29" width="1.6640625" style="64" customWidth="1"/>
    <col min="30" max="33" width="9.33203125" style="64" customWidth="1"/>
    <col min="34" max="34" width="9.33203125" style="64" hidden="1" customWidth="1"/>
    <col min="35" max="16384" width="9.33203125" style="64"/>
  </cols>
  <sheetData>
    <row r="1" spans="1:38" ht="13.95" customHeight="1" x14ac:dyDescent="0.25">
      <c r="A1" s="1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1.25" customHeight="1" x14ac:dyDescent="0.25">
      <c r="A2" s="1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9.75" customHeight="1" x14ac:dyDescent="0.25">
      <c r="A3" s="1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20.25" customHeight="1" x14ac:dyDescent="0.25">
      <c r="A4" s="1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6.5" customHeight="1" x14ac:dyDescent="0.25">
      <c r="A5" s="1"/>
      <c r="B5" s="158" t="s">
        <v>721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3.75" customHeight="1" thickBot="1" x14ac:dyDescent="0.3">
      <c r="A6" s="1"/>
      <c r="B6" s="23"/>
      <c r="C6" s="10"/>
      <c r="D6" s="23"/>
      <c r="E6" s="23"/>
      <c r="F6" s="23"/>
      <c r="G6" s="23"/>
      <c r="H6" s="23"/>
      <c r="I6" s="23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2"/>
      <c r="AB6" s="12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31.5" customHeight="1" thickTop="1" x14ac:dyDescent="0.25">
      <c r="A7" s="1"/>
      <c r="B7" s="45" t="s">
        <v>42</v>
      </c>
      <c r="C7" s="11"/>
      <c r="D7" s="164" t="s">
        <v>713</v>
      </c>
      <c r="E7" s="165"/>
      <c r="F7" s="165"/>
      <c r="G7" s="165"/>
      <c r="H7" s="165"/>
      <c r="I7" s="166"/>
      <c r="J7" s="10"/>
      <c r="K7" s="45" t="s">
        <v>0</v>
      </c>
      <c r="L7" s="11"/>
      <c r="M7" s="232"/>
      <c r="N7" s="233"/>
      <c r="O7" s="233"/>
      <c r="P7" s="233"/>
      <c r="Q7" s="233"/>
      <c r="R7" s="234"/>
      <c r="S7" s="65"/>
      <c r="T7" s="274"/>
      <c r="U7" s="275"/>
      <c r="V7" s="275"/>
      <c r="W7" s="275"/>
      <c r="X7" s="275"/>
      <c r="Y7" s="275"/>
      <c r="Z7" s="275"/>
      <c r="AA7" s="275"/>
      <c r="AB7" s="276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5.25" customHeight="1" x14ac:dyDescent="0.25">
      <c r="A8" s="1"/>
      <c r="B8" s="20"/>
      <c r="C8" s="12"/>
      <c r="D8" s="12"/>
      <c r="E8" s="12"/>
      <c r="F8" s="12"/>
      <c r="G8" s="12"/>
      <c r="H8" s="12"/>
      <c r="I8" s="12"/>
      <c r="J8" s="12"/>
      <c r="K8" s="20"/>
      <c r="L8" s="12"/>
      <c r="M8" s="12"/>
      <c r="N8" s="12"/>
      <c r="O8" s="12"/>
      <c r="P8" s="12"/>
      <c r="Q8" s="12"/>
      <c r="R8" s="12"/>
      <c r="S8" s="12"/>
      <c r="T8" s="277"/>
      <c r="U8" s="278"/>
      <c r="V8" s="278"/>
      <c r="W8" s="278"/>
      <c r="X8" s="278"/>
      <c r="Y8" s="278"/>
      <c r="Z8" s="278"/>
      <c r="AA8" s="278"/>
      <c r="AB8" s="279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ht="30" customHeight="1" x14ac:dyDescent="0.25">
      <c r="A9" s="1"/>
      <c r="B9" s="46" t="s">
        <v>86</v>
      </c>
      <c r="C9" s="12"/>
      <c r="D9" s="170" t="s">
        <v>726</v>
      </c>
      <c r="E9" s="170"/>
      <c r="F9" s="170"/>
      <c r="G9" s="170"/>
      <c r="H9" s="170"/>
      <c r="I9" s="170"/>
      <c r="J9" s="12"/>
      <c r="K9" s="46" t="s">
        <v>40</v>
      </c>
      <c r="L9" s="11"/>
      <c r="M9" s="235" t="s">
        <v>709</v>
      </c>
      <c r="N9" s="236"/>
      <c r="O9" s="236"/>
      <c r="P9" s="236"/>
      <c r="Q9" s="236"/>
      <c r="R9" s="237"/>
      <c r="S9" s="65"/>
      <c r="T9" s="277"/>
      <c r="U9" s="278"/>
      <c r="V9" s="278"/>
      <c r="W9" s="278"/>
      <c r="X9" s="278"/>
      <c r="Y9" s="278"/>
      <c r="Z9" s="278"/>
      <c r="AA9" s="278"/>
      <c r="AB9" s="279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30" customHeight="1" x14ac:dyDescent="0.25">
      <c r="A10" s="1"/>
      <c r="B10" s="47" t="s">
        <v>14</v>
      </c>
      <c r="C10" s="12"/>
      <c r="D10" s="167" t="s">
        <v>722</v>
      </c>
      <c r="E10" s="168"/>
      <c r="F10" s="168"/>
      <c r="G10" s="168"/>
      <c r="H10" s="168"/>
      <c r="I10" s="169"/>
      <c r="J10" s="11"/>
      <c r="K10" s="46" t="s">
        <v>85</v>
      </c>
      <c r="L10" s="11"/>
      <c r="M10" s="238">
        <f ca="1">TODAY()</f>
        <v>46300</v>
      </c>
      <c r="N10" s="238"/>
      <c r="O10" s="238"/>
      <c r="P10" s="238"/>
      <c r="Q10" s="238"/>
      <c r="R10" s="238"/>
      <c r="S10" s="41"/>
      <c r="T10" s="277"/>
      <c r="U10" s="278"/>
      <c r="V10" s="278"/>
      <c r="W10" s="278"/>
      <c r="X10" s="278"/>
      <c r="Y10" s="278"/>
      <c r="Z10" s="278"/>
      <c r="AA10" s="278"/>
      <c r="AB10" s="279"/>
      <c r="AC10" s="1"/>
      <c r="AD10" s="66"/>
      <c r="AE10" s="66"/>
      <c r="AF10" s="66"/>
      <c r="AG10" s="66"/>
      <c r="AH10" s="66"/>
      <c r="AI10" s="66"/>
      <c r="AJ10" s="1"/>
      <c r="AK10" s="1"/>
      <c r="AL10" s="1"/>
    </row>
    <row r="11" spans="1:38" ht="34.5" customHeight="1" x14ac:dyDescent="0.25">
      <c r="A11" s="1"/>
      <c r="B11" s="46" t="s">
        <v>1</v>
      </c>
      <c r="C11" s="11"/>
      <c r="D11" s="171" t="s">
        <v>727</v>
      </c>
      <c r="E11" s="172"/>
      <c r="F11" s="172"/>
      <c r="G11" s="172"/>
      <c r="H11" s="172"/>
      <c r="I11" s="173"/>
      <c r="J11" s="12"/>
      <c r="K11" s="67" t="s">
        <v>183</v>
      </c>
      <c r="L11" s="11"/>
      <c r="M11" s="170" t="s">
        <v>714</v>
      </c>
      <c r="N11" s="170"/>
      <c r="O11" s="170"/>
      <c r="P11" s="170"/>
      <c r="Q11" s="170"/>
      <c r="R11" s="170"/>
      <c r="S11" s="65"/>
      <c r="T11" s="277"/>
      <c r="U11" s="278"/>
      <c r="V11" s="278"/>
      <c r="W11" s="278"/>
      <c r="X11" s="278"/>
      <c r="Y11" s="278"/>
      <c r="Z11" s="278"/>
      <c r="AA11" s="278"/>
      <c r="AB11" s="279"/>
      <c r="AC11" s="1"/>
      <c r="AD11" s="66"/>
      <c r="AE11" s="66"/>
      <c r="AF11" s="66"/>
      <c r="AG11" s="66"/>
      <c r="AH11" s="66"/>
      <c r="AI11" s="66"/>
      <c r="AJ11" s="1"/>
      <c r="AK11" s="1"/>
      <c r="AL11" s="1"/>
    </row>
    <row r="12" spans="1:38" ht="10.5" customHeight="1" thickBot="1" x14ac:dyDescent="0.3">
      <c r="A12" s="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277"/>
      <c r="U12" s="278"/>
      <c r="V12" s="278"/>
      <c r="W12" s="278"/>
      <c r="X12" s="278"/>
      <c r="Y12" s="278"/>
      <c r="Z12" s="278"/>
      <c r="AA12" s="278"/>
      <c r="AB12" s="279"/>
      <c r="AC12" s="1"/>
      <c r="AD12" s="66"/>
      <c r="AE12" s="66"/>
      <c r="AF12" s="66"/>
      <c r="AG12" s="66"/>
      <c r="AH12" s="66"/>
      <c r="AI12" s="66"/>
      <c r="AJ12" s="1"/>
      <c r="AK12" s="1"/>
      <c r="AL12" s="1"/>
    </row>
    <row r="13" spans="1:38" ht="23.25" customHeight="1" thickBot="1" x14ac:dyDescent="0.3">
      <c r="A13" s="1"/>
      <c r="B13" s="48" t="s">
        <v>41</v>
      </c>
      <c r="C13" s="13"/>
      <c r="D13" s="68">
        <v>4500</v>
      </c>
      <c r="E13" s="69"/>
      <c r="F13" s="57" t="s">
        <v>39</v>
      </c>
      <c r="G13" s="104" t="s">
        <v>707</v>
      </c>
      <c r="H13" s="10"/>
      <c r="I13" s="184" t="s">
        <v>184</v>
      </c>
      <c r="J13" s="184"/>
      <c r="K13" s="184"/>
      <c r="L13" s="184"/>
      <c r="M13" s="184"/>
      <c r="N13" s="70"/>
      <c r="O13" s="70"/>
      <c r="P13" s="239" t="s">
        <v>72</v>
      </c>
      <c r="Q13" s="240"/>
      <c r="R13" s="241"/>
      <c r="S13" s="71"/>
      <c r="T13" s="277"/>
      <c r="U13" s="278"/>
      <c r="V13" s="278"/>
      <c r="W13" s="278"/>
      <c r="X13" s="278"/>
      <c r="Y13" s="278"/>
      <c r="Z13" s="278"/>
      <c r="AA13" s="278"/>
      <c r="AB13" s="279"/>
      <c r="AC13" s="1"/>
      <c r="AD13" s="66"/>
      <c r="AE13" s="66"/>
      <c r="AF13" s="66"/>
      <c r="AG13" s="66"/>
      <c r="AH13" s="66"/>
      <c r="AI13" s="66"/>
      <c r="AJ13" s="66"/>
      <c r="AK13" s="1"/>
      <c r="AL13" s="1"/>
    </row>
    <row r="14" spans="1:38" ht="21.75" customHeight="1" thickBot="1" x14ac:dyDescent="0.3">
      <c r="A14" s="1"/>
      <c r="B14" s="49" t="s">
        <v>48</v>
      </c>
      <c r="C14" s="12"/>
      <c r="D14" s="68">
        <v>120</v>
      </c>
      <c r="E14" s="69"/>
      <c r="F14" s="57" t="s">
        <v>79</v>
      </c>
      <c r="G14" s="59" t="str">
        <f>IF(G13="USD","1",IF(G13="AUD","1.4",IF(G13="NZD","1.5",IF(G13="EUR","0.9",""))))</f>
        <v>1</v>
      </c>
      <c r="H14" s="12"/>
      <c r="I14" s="137" t="s">
        <v>80</v>
      </c>
      <c r="J14" s="137"/>
      <c r="K14" s="59" t="s">
        <v>4</v>
      </c>
      <c r="L14" s="137" t="s">
        <v>461</v>
      </c>
      <c r="M14" s="137"/>
      <c r="N14" s="70"/>
      <c r="O14" s="70"/>
      <c r="P14" s="242" t="s">
        <v>57</v>
      </c>
      <c r="Q14" s="243"/>
      <c r="R14" s="72">
        <f>R20+R21</f>
        <v>464.38557768096848</v>
      </c>
      <c r="S14" s="73"/>
      <c r="T14" s="277"/>
      <c r="U14" s="278"/>
      <c r="V14" s="278"/>
      <c r="W14" s="278"/>
      <c r="X14" s="278"/>
      <c r="Y14" s="278"/>
      <c r="Z14" s="278"/>
      <c r="AA14" s="278"/>
      <c r="AB14" s="279"/>
      <c r="AC14" s="1"/>
      <c r="AD14" s="66"/>
      <c r="AE14" s="66"/>
      <c r="AF14" s="66"/>
      <c r="AG14" s="66"/>
      <c r="AH14" s="66"/>
      <c r="AI14" s="66"/>
      <c r="AJ14" s="1"/>
      <c r="AK14" s="1"/>
      <c r="AL14" s="1"/>
    </row>
    <row r="15" spans="1:38" ht="23.25" customHeight="1" x14ac:dyDescent="0.25">
      <c r="A15" s="1"/>
      <c r="B15" s="46" t="s">
        <v>49</v>
      </c>
      <c r="C15" s="12"/>
      <c r="D15" s="68">
        <v>1000</v>
      </c>
      <c r="E15" s="69"/>
      <c r="F15" s="56"/>
      <c r="G15" s="74"/>
      <c r="H15" s="12"/>
      <c r="I15" s="170" t="s">
        <v>715</v>
      </c>
      <c r="J15" s="170"/>
      <c r="K15" s="104">
        <v>1</v>
      </c>
      <c r="L15" s="170" t="s">
        <v>716</v>
      </c>
      <c r="M15" s="170"/>
      <c r="N15" s="70"/>
      <c r="O15" s="70"/>
      <c r="P15" s="244" t="s">
        <v>3</v>
      </c>
      <c r="Q15" s="245"/>
      <c r="R15" s="75">
        <f>M22</f>
        <v>281.82117768096845</v>
      </c>
      <c r="S15" s="38"/>
      <c r="T15" s="277"/>
      <c r="U15" s="278"/>
      <c r="V15" s="278"/>
      <c r="W15" s="278"/>
      <c r="X15" s="278"/>
      <c r="Y15" s="278"/>
      <c r="Z15" s="278"/>
      <c r="AA15" s="278"/>
      <c r="AB15" s="279"/>
      <c r="AC15" s="1"/>
      <c r="AD15" s="66"/>
      <c r="AE15"/>
      <c r="AF15" s="66"/>
      <c r="AG15" s="66"/>
      <c r="AH15" s="1"/>
      <c r="AI15" s="1"/>
      <c r="AJ15" s="1"/>
      <c r="AK15" s="1"/>
      <c r="AL15" s="1"/>
    </row>
    <row r="16" spans="1:38" ht="6" customHeight="1" x14ac:dyDescent="0.25">
      <c r="A16" s="1"/>
      <c r="B16" s="12"/>
      <c r="C16" s="12"/>
      <c r="D16" s="12"/>
      <c r="E16" s="12"/>
      <c r="F16" s="138"/>
      <c r="G16" s="138"/>
      <c r="H16" s="138"/>
      <c r="I16" s="138"/>
      <c r="J16" s="12"/>
      <c r="K16" s="10"/>
      <c r="L16" s="12"/>
      <c r="M16" s="70"/>
      <c r="N16" s="70"/>
      <c r="O16" s="70"/>
      <c r="P16" s="228" t="s">
        <v>70</v>
      </c>
      <c r="Q16" s="229"/>
      <c r="R16" s="226">
        <f>IF(E24="FIXED",AB67+AB68+AB69+Y71,AB68+AB69+Y71)</f>
        <v>182.56440000000001</v>
      </c>
      <c r="S16" s="38"/>
      <c r="T16" s="277"/>
      <c r="U16" s="278"/>
      <c r="V16" s="278"/>
      <c r="W16" s="278"/>
      <c r="X16" s="278"/>
      <c r="Y16" s="278"/>
      <c r="Z16" s="278"/>
      <c r="AA16" s="278"/>
      <c r="AB16" s="279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6.5" customHeight="1" x14ac:dyDescent="0.25">
      <c r="A17" s="1"/>
      <c r="B17" s="34" t="s">
        <v>99</v>
      </c>
      <c r="C17" s="137" t="s">
        <v>3</v>
      </c>
      <c r="D17" s="137"/>
      <c r="E17" s="137" t="s">
        <v>1</v>
      </c>
      <c r="F17" s="137"/>
      <c r="G17" s="144" t="s">
        <v>50</v>
      </c>
      <c r="H17" s="145"/>
      <c r="I17" s="144" t="s">
        <v>484</v>
      </c>
      <c r="J17" s="145"/>
      <c r="K17" s="144" t="s">
        <v>47</v>
      </c>
      <c r="L17" s="145"/>
      <c r="M17" s="59" t="s">
        <v>4</v>
      </c>
      <c r="N17" s="70"/>
      <c r="O17" s="70"/>
      <c r="P17" s="230"/>
      <c r="Q17" s="231"/>
      <c r="R17" s="227"/>
      <c r="S17" s="38"/>
      <c r="T17" s="277"/>
      <c r="U17" s="278"/>
      <c r="V17" s="278"/>
      <c r="W17" s="278"/>
      <c r="X17" s="278"/>
      <c r="Y17" s="278"/>
      <c r="Z17" s="278"/>
      <c r="AA17" s="278"/>
      <c r="AB17" s="279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21" customHeight="1" x14ac:dyDescent="0.25">
      <c r="A18" s="1"/>
      <c r="B18" s="52" t="s">
        <v>720</v>
      </c>
      <c r="C18" s="119" t="s">
        <v>101</v>
      </c>
      <c r="D18" s="119"/>
      <c r="E18" s="119" t="s">
        <v>614</v>
      </c>
      <c r="F18" s="119"/>
      <c r="G18" s="192">
        <v>4.25</v>
      </c>
      <c r="H18" s="192"/>
      <c r="I18" s="146">
        <v>0.1</v>
      </c>
      <c r="J18" s="147"/>
      <c r="K18" s="271">
        <f>IF(B18="10 K",(((D13*G14)/31.1035)*(10/24))*(1+I18),IF(B18="14 K",(((D13*G14)/31.1035)*(14/24))*(1+I18),IF(B18="18 K",(((D13*G14)/31.1035)*(18/24))*(1+I18),IF(B18="22 K",(((D13*G14)/31.1035)*(22/24))*(1+I18),IF(B18="SILV",(((D14*G14)/31.1035)*0.925)*(1+I18),IF(B18="PLAT",(((D15*G14)/31.1035)*0.95)*(1+I18),0))))))</f>
        <v>66.310865336698456</v>
      </c>
      <c r="L18" s="271"/>
      <c r="M18" s="58">
        <f>K18*G18</f>
        <v>281.82117768096845</v>
      </c>
      <c r="N18" s="70"/>
      <c r="O18" s="70"/>
      <c r="P18" s="246" t="s">
        <v>83</v>
      </c>
      <c r="Q18" s="247"/>
      <c r="R18" s="76">
        <f>IF(E24="VARIABLE",AB62+AB67,AB62)</f>
        <v>0</v>
      </c>
      <c r="S18" s="38"/>
      <c r="T18" s="277"/>
      <c r="U18" s="278"/>
      <c r="V18" s="278"/>
      <c r="W18" s="278"/>
      <c r="X18" s="278"/>
      <c r="Y18" s="278"/>
      <c r="Z18" s="278"/>
      <c r="AA18" s="278"/>
      <c r="AB18" s="279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21.75" customHeight="1" thickBot="1" x14ac:dyDescent="0.3">
      <c r="A19" s="1"/>
      <c r="B19" s="40" t="str">
        <f>LEFT(C19,4)</f>
        <v/>
      </c>
      <c r="C19" s="119"/>
      <c r="D19" s="119"/>
      <c r="E19" s="119"/>
      <c r="F19" s="119"/>
      <c r="G19" s="192"/>
      <c r="H19" s="192"/>
      <c r="I19" s="146"/>
      <c r="J19" s="147"/>
      <c r="K19" s="271">
        <f>IF(B19="10 K",(((D13*G14)/31.1035)*(10/24))*(1+I19),IF(B19="14 K",(((D13*G14)/31.1035)*(14/24))*(1+I19),IF(B19="18 K",(((D13*G14)/31.1035)*(18/24))*(1+I19),IF(B19="22 K",(((D13*G14)/31.1035)*(22/24))*(1+I19),IF(B19="SILV",(((D14*G14)/31.1035)*0.925)*(1+I19),IF(B19="PLAT",(((D15*G14)/31.1035)*0.95)*(1+I19),0))))))</f>
        <v>0</v>
      </c>
      <c r="L19" s="271"/>
      <c r="M19" s="58">
        <f>K19*G19</f>
        <v>0</v>
      </c>
      <c r="N19" s="70"/>
      <c r="O19" s="70"/>
      <c r="P19" s="248" t="s">
        <v>90</v>
      </c>
      <c r="Q19" s="249"/>
      <c r="R19" s="76"/>
      <c r="S19" s="38"/>
      <c r="T19" s="277"/>
      <c r="U19" s="278"/>
      <c r="V19" s="278"/>
      <c r="W19" s="278"/>
      <c r="X19" s="278"/>
      <c r="Y19" s="278"/>
      <c r="Z19" s="278"/>
      <c r="AA19" s="278"/>
      <c r="AB19" s="279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21.75" customHeight="1" thickTop="1" thickBot="1" x14ac:dyDescent="0.3">
      <c r="A20" s="1"/>
      <c r="B20" s="40" t="str">
        <f>LEFT(C20,4)</f>
        <v/>
      </c>
      <c r="C20" s="119"/>
      <c r="D20" s="119"/>
      <c r="E20" s="119"/>
      <c r="F20" s="119"/>
      <c r="G20" s="192"/>
      <c r="H20" s="192"/>
      <c r="I20" s="146"/>
      <c r="J20" s="147"/>
      <c r="K20" s="271">
        <f>IF(B20="10 K",(((D13*G14)/31.1035)*(10/24))*(1+I20),IF(B20="14 K",(((D13*G14)/31.1035)*(14/24))*(1+I20),IF(B20="18 K",(((D13*G14)/31.1035)*(18/24))*(1+I20),IF(B20="22 K",(((D13*G14)/31.1035)*(22/24))*(1+I20),IF(B20="SILV",(((D14*G14)/31.1035)*0.925)*(1+I20),IF(B20="PLAT",(((D15*G14)/31.1035)*0.95)*(1+I20),0))))))</f>
        <v>0</v>
      </c>
      <c r="L20" s="271"/>
      <c r="M20" s="58">
        <f>K20*G20</f>
        <v>0</v>
      </c>
      <c r="N20" s="70"/>
      <c r="O20" s="70"/>
      <c r="P20" s="272" t="s">
        <v>45</v>
      </c>
      <c r="Q20" s="273"/>
      <c r="R20" s="7">
        <f>SUM(R15:R19)</f>
        <v>464.38557768096848</v>
      </c>
      <c r="S20" s="38"/>
      <c r="T20" s="277"/>
      <c r="U20" s="278"/>
      <c r="V20" s="278"/>
      <c r="W20" s="278"/>
      <c r="X20" s="278"/>
      <c r="Y20" s="278"/>
      <c r="Z20" s="278"/>
      <c r="AA20" s="278"/>
      <c r="AB20" s="279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21.75" customHeight="1" thickTop="1" thickBot="1" x14ac:dyDescent="0.3">
      <c r="A21" s="1"/>
      <c r="B21" s="40" t="str">
        <f>LEFT(C21,4)</f>
        <v/>
      </c>
      <c r="C21" s="119"/>
      <c r="D21" s="119"/>
      <c r="E21" s="119"/>
      <c r="F21" s="119"/>
      <c r="G21" s="192"/>
      <c r="H21" s="192"/>
      <c r="I21" s="146"/>
      <c r="J21" s="147"/>
      <c r="K21" s="271">
        <f>IF(B21="10 K",(((D13*G14)/31.1035)*(10/24))*(1+I21),IF(B21="14 K",(((D13*G14)/31.1035)*(14/24))*(1+I21),IF(B21="18 K",(((D13*G14)/31.1035)*(18/24))*(1+I21),IF(B21="22 K",(((D13*G14)/31.1035)*(22/24))*(1+I21),IF(B21="SILV",(((D14*G14)/31.1035)*0.925)*(1+I21),IF(B21="PLAT",(((D15*G14)/31.1035)*0.95)*(1+I21),0))))))</f>
        <v>0</v>
      </c>
      <c r="L21" s="271"/>
      <c r="M21" s="58">
        <f>K21*G21</f>
        <v>0</v>
      </c>
      <c r="N21" s="70"/>
      <c r="O21" s="70"/>
      <c r="P21" s="44" t="s">
        <v>46</v>
      </c>
      <c r="Q21" s="42"/>
      <c r="R21" s="8">
        <f>R20*Q21</f>
        <v>0</v>
      </c>
      <c r="S21" s="38"/>
      <c r="T21" s="277"/>
      <c r="U21" s="278"/>
      <c r="V21" s="278"/>
      <c r="W21" s="278"/>
      <c r="X21" s="278"/>
      <c r="Y21" s="278"/>
      <c r="Z21" s="278"/>
      <c r="AA21" s="278"/>
      <c r="AB21" s="279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20.25" customHeight="1" x14ac:dyDescent="0.25">
      <c r="A22" s="1"/>
      <c r="B22" s="16" t="str">
        <f>LEFT(C22,4)</f>
        <v/>
      </c>
      <c r="C22" s="148"/>
      <c r="D22" s="175"/>
      <c r="E22" s="174" t="s">
        <v>43</v>
      </c>
      <c r="F22" s="174"/>
      <c r="G22" s="149">
        <f>SUM(G18:H21)</f>
        <v>4.25</v>
      </c>
      <c r="H22" s="149"/>
      <c r="I22" s="148"/>
      <c r="J22" s="148"/>
      <c r="K22" s="149" t="s">
        <v>9</v>
      </c>
      <c r="L22" s="149"/>
      <c r="M22" s="35">
        <f>SUM(M18:M21)</f>
        <v>281.82117768096845</v>
      </c>
      <c r="N22" s="70"/>
      <c r="O22" s="70"/>
      <c r="P22" s="77"/>
      <c r="Q22" s="77"/>
      <c r="R22" s="77"/>
      <c r="S22" s="38"/>
      <c r="T22" s="277"/>
      <c r="U22" s="278"/>
      <c r="V22" s="278"/>
      <c r="W22" s="278"/>
      <c r="X22" s="278"/>
      <c r="Y22" s="278"/>
      <c r="Z22" s="278"/>
      <c r="AA22" s="278"/>
      <c r="AB22" s="279"/>
      <c r="AC22" s="1"/>
      <c r="AD22" s="1"/>
      <c r="AG22" s="1"/>
      <c r="AH22" s="1"/>
      <c r="AI22" s="1"/>
      <c r="AJ22" s="1"/>
      <c r="AK22" s="1"/>
      <c r="AL22" s="1"/>
    </row>
    <row r="23" spans="1:38" ht="3.75" customHeight="1" x14ac:dyDescent="0.25">
      <c r="A23" s="1"/>
      <c r="B23" s="16"/>
      <c r="C23" s="78"/>
      <c r="D23" s="78"/>
      <c r="E23" s="14"/>
      <c r="F23" s="14"/>
      <c r="G23" s="53"/>
      <c r="H23" s="53"/>
      <c r="I23" s="53"/>
      <c r="J23" s="53"/>
      <c r="K23" s="54"/>
      <c r="L23" s="12"/>
      <c r="M23" s="70"/>
      <c r="N23" s="70"/>
      <c r="O23" s="70"/>
      <c r="P23" s="77"/>
      <c r="Q23" s="77"/>
      <c r="R23" s="77"/>
      <c r="S23" s="38"/>
      <c r="T23" s="277"/>
      <c r="U23" s="278"/>
      <c r="V23" s="278"/>
      <c r="W23" s="278"/>
      <c r="X23" s="278"/>
      <c r="Y23" s="278"/>
      <c r="Z23" s="278"/>
      <c r="AA23" s="278"/>
      <c r="AB23" s="279"/>
      <c r="AC23" s="1"/>
      <c r="AD23" s="1"/>
      <c r="AG23" s="1"/>
      <c r="AH23" s="1"/>
      <c r="AI23" s="1"/>
      <c r="AJ23" s="1"/>
      <c r="AK23" s="1"/>
      <c r="AL23" s="1"/>
    </row>
    <row r="24" spans="1:38" ht="16.5" customHeight="1" x14ac:dyDescent="0.25">
      <c r="A24" s="1"/>
      <c r="B24" s="189" t="s">
        <v>482</v>
      </c>
      <c r="C24" s="190"/>
      <c r="D24" s="191"/>
      <c r="E24" s="193"/>
      <c r="F24" s="194"/>
      <c r="G24" s="284">
        <f>IF(AND((OR(C26&lt;&gt;"",C27&lt;&gt;"",C28&lt;&gt;"")),ISBLANK(E24)),"Please select a pricing type",IF(AND(E24="VARIABLE",ISBLANK(I26)),"Please enter total weight",IF(OR(M26="ERROR",M27="ERROR",M28="ERROR"),"Please check the metal type selected matches the table above",0)))</f>
        <v>0</v>
      </c>
      <c r="H24" s="285"/>
      <c r="I24" s="285"/>
      <c r="J24" s="285"/>
      <c r="K24" s="285"/>
      <c r="L24" s="285"/>
      <c r="M24" s="285"/>
      <c r="N24" s="285"/>
      <c r="O24" s="285"/>
      <c r="P24" s="285"/>
      <c r="Q24" s="285"/>
      <c r="R24" s="12"/>
      <c r="S24" s="12"/>
      <c r="T24" s="277"/>
      <c r="U24" s="278"/>
      <c r="V24" s="278"/>
      <c r="W24" s="278"/>
      <c r="X24" s="278"/>
      <c r="Y24" s="278"/>
      <c r="Z24" s="278"/>
      <c r="AA24" s="278"/>
      <c r="AB24" s="279"/>
      <c r="AC24" s="1"/>
    </row>
    <row r="25" spans="1:38" ht="16.5" customHeight="1" x14ac:dyDescent="0.25">
      <c r="A25" s="1"/>
      <c r="B25" s="59" t="s">
        <v>99</v>
      </c>
      <c r="C25" s="186" t="s">
        <v>3</v>
      </c>
      <c r="D25" s="187"/>
      <c r="E25" s="144" t="s">
        <v>1</v>
      </c>
      <c r="F25" s="145"/>
      <c r="G25" s="160" t="s">
        <v>5</v>
      </c>
      <c r="H25" s="161"/>
      <c r="I25" s="160" t="s">
        <v>43</v>
      </c>
      <c r="J25" s="161"/>
      <c r="K25" s="137" t="s">
        <v>481</v>
      </c>
      <c r="L25" s="137"/>
      <c r="M25" s="59" t="s">
        <v>4</v>
      </c>
      <c r="N25" s="14"/>
      <c r="O25" s="184" t="s">
        <v>95</v>
      </c>
      <c r="P25" s="184"/>
      <c r="Q25" s="250" t="s">
        <v>706</v>
      </c>
      <c r="R25" s="251"/>
      <c r="S25" s="77"/>
      <c r="T25" s="277"/>
      <c r="U25" s="278"/>
      <c r="V25" s="278"/>
      <c r="W25" s="278"/>
      <c r="X25" s="278"/>
      <c r="Y25" s="278"/>
      <c r="Z25" s="278"/>
      <c r="AA25" s="278"/>
      <c r="AB25" s="279"/>
      <c r="AC25" s="1"/>
    </row>
    <row r="26" spans="1:38" ht="17.25" customHeight="1" x14ac:dyDescent="0.25">
      <c r="A26" s="1"/>
      <c r="B26" s="52" t="str">
        <f>LEFT(C26,4)</f>
        <v/>
      </c>
      <c r="C26" s="119"/>
      <c r="D26" s="119"/>
      <c r="E26" s="131"/>
      <c r="F26" s="122"/>
      <c r="G26" s="124"/>
      <c r="H26" s="125"/>
      <c r="I26" s="162"/>
      <c r="J26" s="163"/>
      <c r="K26" s="283">
        <v>0</v>
      </c>
      <c r="L26" s="283"/>
      <c r="M26" s="55" t="str">
        <f>IFERROR(IF(C26="","",IF(E24="FIXED",K26*G26,IF(E24="VARIABLE",VLOOKUP(C26,C18:M21,9,FALSE)*I26,0))),"ERROR")</f>
        <v/>
      </c>
      <c r="N26" s="38"/>
      <c r="O26" s="220" t="s">
        <v>88</v>
      </c>
      <c r="P26" s="221"/>
      <c r="Q26" s="218">
        <f>IF(G22=0,"",IF(Q25="variable weight",IF(G22&lt;2,0.1,0.05),"N/A"))</f>
        <v>0.05</v>
      </c>
      <c r="R26" s="219"/>
      <c r="S26" s="12"/>
      <c r="T26" s="277"/>
      <c r="U26" s="278"/>
      <c r="V26" s="278"/>
      <c r="W26" s="278"/>
      <c r="X26" s="278"/>
      <c r="Y26" s="278"/>
      <c r="Z26" s="278"/>
      <c r="AA26" s="278"/>
      <c r="AB26" s="279"/>
      <c r="AC26" s="1"/>
    </row>
    <row r="27" spans="1:38" ht="17.25" customHeight="1" x14ac:dyDescent="0.25">
      <c r="A27" s="1"/>
      <c r="B27" s="52" t="str">
        <f>LEFT(C27,4)</f>
        <v/>
      </c>
      <c r="C27" s="119"/>
      <c r="D27" s="119"/>
      <c r="E27" s="131"/>
      <c r="F27" s="122"/>
      <c r="G27" s="124"/>
      <c r="H27" s="125"/>
      <c r="I27" s="162"/>
      <c r="J27" s="163"/>
      <c r="K27" s="283">
        <v>0</v>
      </c>
      <c r="L27" s="283"/>
      <c r="M27" s="58" t="str">
        <f>IFERROR(IF(C27="","",IF(E24="FIXED",K27*G27,IF(E24="VARIABLE",VLOOKUP(B27,B18:M21,10,FALSE)*I27,0))),"ERROR")</f>
        <v/>
      </c>
      <c r="N27" s="38"/>
      <c r="O27" s="222" t="s">
        <v>462</v>
      </c>
      <c r="P27" s="223"/>
      <c r="Q27" s="79" t="s">
        <v>89</v>
      </c>
      <c r="R27" s="80" t="s">
        <v>4</v>
      </c>
      <c r="S27" s="77"/>
      <c r="T27" s="277"/>
      <c r="U27" s="278"/>
      <c r="V27" s="278"/>
      <c r="W27" s="278"/>
      <c r="X27" s="278"/>
      <c r="Y27" s="278"/>
      <c r="Z27" s="278"/>
      <c r="AA27" s="278"/>
      <c r="AB27" s="279"/>
      <c r="AC27" s="1"/>
    </row>
    <row r="28" spans="1:38" ht="17.25" customHeight="1" x14ac:dyDescent="0.25">
      <c r="A28" s="1"/>
      <c r="B28" s="52" t="str">
        <f>LEFT(C28,4)</f>
        <v/>
      </c>
      <c r="C28" s="119"/>
      <c r="D28" s="119"/>
      <c r="E28" s="131"/>
      <c r="F28" s="122"/>
      <c r="G28" s="188"/>
      <c r="H28" s="125"/>
      <c r="I28" s="162"/>
      <c r="J28" s="163"/>
      <c r="K28" s="283">
        <v>0</v>
      </c>
      <c r="L28" s="283"/>
      <c r="M28" s="58" t="str">
        <f>IFERROR(IF(C28="","",IF(E24="FIXED",K28*G28,IF(E24="VARIABLE",VLOOKUP(B28,B18:M21,10,FALSE)*I28,0))),"ERROR")</f>
        <v/>
      </c>
      <c r="N28" s="38"/>
      <c r="O28" s="224"/>
      <c r="P28" s="225"/>
      <c r="Q28" s="104" t="s">
        <v>717</v>
      </c>
      <c r="R28" s="105"/>
      <c r="S28" s="77"/>
      <c r="T28" s="277"/>
      <c r="U28" s="278"/>
      <c r="V28" s="278"/>
      <c r="W28" s="278"/>
      <c r="X28" s="278"/>
      <c r="Y28" s="278"/>
      <c r="Z28" s="278"/>
      <c r="AA28" s="278"/>
      <c r="AB28" s="279"/>
      <c r="AC28" s="1"/>
    </row>
    <row r="29" spans="1:38" ht="17.25" customHeight="1" thickBot="1" x14ac:dyDescent="0.3">
      <c r="A29" s="1"/>
      <c r="B29" s="16"/>
      <c r="C29" s="39"/>
      <c r="D29" s="77"/>
      <c r="E29" s="137" t="s">
        <v>689</v>
      </c>
      <c r="F29" s="137"/>
      <c r="G29" s="185">
        <f>SUM(G26:H28)</f>
        <v>0</v>
      </c>
      <c r="H29" s="137"/>
      <c r="I29" s="149">
        <f>SUM(I26:J28)</f>
        <v>0</v>
      </c>
      <c r="J29" s="149"/>
      <c r="K29" s="137" t="s">
        <v>9</v>
      </c>
      <c r="L29" s="137"/>
      <c r="M29" s="30">
        <f>SUM(M26:M28)</f>
        <v>0</v>
      </c>
      <c r="N29" s="51"/>
      <c r="O29" s="51"/>
      <c r="P29" s="77"/>
      <c r="Q29" s="77"/>
      <c r="R29" s="39"/>
      <c r="S29" s="39"/>
      <c r="T29" s="280"/>
      <c r="U29" s="281"/>
      <c r="V29" s="281"/>
      <c r="W29" s="281"/>
      <c r="X29" s="281"/>
      <c r="Y29" s="281"/>
      <c r="Z29" s="281"/>
      <c r="AA29" s="281"/>
      <c r="AB29" s="282"/>
      <c r="AC29" s="1"/>
    </row>
    <row r="30" spans="1:38" ht="4.5" customHeight="1" thickTop="1" x14ac:dyDescent="0.25">
      <c r="A30" s="1"/>
      <c r="B30" s="16"/>
      <c r="C30" s="12"/>
      <c r="D30" s="12"/>
      <c r="E30" s="12"/>
      <c r="F30" s="10"/>
      <c r="G30" s="53"/>
      <c r="H30" s="53"/>
      <c r="I30" s="17"/>
      <c r="J30" s="12"/>
      <c r="K30" s="81"/>
      <c r="L30" s="81"/>
      <c r="M30" s="81"/>
      <c r="N30" s="81"/>
      <c r="O30" s="81"/>
      <c r="P30" s="81"/>
      <c r="Q30" s="81"/>
      <c r="R30" s="39"/>
      <c r="S30" s="39"/>
      <c r="T30" s="39"/>
      <c r="U30" s="39"/>
      <c r="V30" s="39"/>
      <c r="W30" s="77"/>
      <c r="X30" s="77"/>
      <c r="Y30" s="65"/>
      <c r="Z30" s="65"/>
      <c r="AA30" s="12"/>
      <c r="AB30" s="12"/>
      <c r="AC30" s="1"/>
    </row>
    <row r="31" spans="1:38" ht="17.25" customHeight="1" x14ac:dyDescent="0.25">
      <c r="A31" s="1"/>
      <c r="B31" s="28" t="s">
        <v>94</v>
      </c>
      <c r="C31" s="261" t="str">
        <f>IF(OR(B33="DIAMOND (LAB)",B34="DIAMOND (LAB)",B35="DIAMOND (LAB)",B39="DIAMOND (LAB)",B40="DIAMOND (LAB)",B41="DIAMOND (LAB)",B42="DIAMOND (LAB)",B43="DIAMOND (LAB)",B44="DIAMOND (LAB)",B45="DIAMOND (LAB)",B53="DIAMOND (LAB)",B46="DIAMOND (LAB)",B47="DIAMOND (LAB)"),"THIS ITEM CONTAINS LAB GROWN DIAMONDS","")</f>
        <v>THIS ITEM CONTAINS LAB GROWN DIAMONDS</v>
      </c>
      <c r="D31" s="262"/>
      <c r="E31" s="262"/>
      <c r="F31" s="262"/>
      <c r="G31" s="262"/>
      <c r="H31" s="262"/>
      <c r="I31" s="17"/>
      <c r="J31" s="12"/>
      <c r="K31" s="81"/>
      <c r="L31" s="81"/>
      <c r="M31" s="81"/>
      <c r="N31" s="81"/>
      <c r="O31" s="81"/>
      <c r="P31" s="137" t="s">
        <v>37</v>
      </c>
      <c r="Q31" s="137"/>
      <c r="R31" s="137"/>
      <c r="S31" s="14"/>
      <c r="T31" s="39"/>
      <c r="U31" s="39"/>
      <c r="V31" s="39"/>
      <c r="W31" s="77"/>
      <c r="X31" s="77"/>
      <c r="Y31" s="65"/>
      <c r="Z31" s="65"/>
      <c r="AA31" s="12"/>
      <c r="AB31" s="12"/>
      <c r="AC31" s="1"/>
    </row>
    <row r="32" spans="1:38" ht="17.25" customHeight="1" x14ac:dyDescent="0.25">
      <c r="A32" s="1"/>
      <c r="B32" s="59" t="s">
        <v>153</v>
      </c>
      <c r="C32" s="137" t="s">
        <v>93</v>
      </c>
      <c r="D32" s="137"/>
      <c r="E32" s="137" t="s">
        <v>6</v>
      </c>
      <c r="F32" s="137"/>
      <c r="G32" s="137" t="s">
        <v>463</v>
      </c>
      <c r="H32" s="137"/>
      <c r="I32" s="144" t="s">
        <v>5</v>
      </c>
      <c r="J32" s="145"/>
      <c r="K32" s="137" t="s">
        <v>43</v>
      </c>
      <c r="L32" s="137"/>
      <c r="M32" s="59" t="s">
        <v>2</v>
      </c>
      <c r="N32" s="144" t="s">
        <v>12</v>
      </c>
      <c r="O32" s="145"/>
      <c r="P32" s="144" t="s">
        <v>11</v>
      </c>
      <c r="Q32" s="145"/>
      <c r="R32" s="59" t="s">
        <v>38</v>
      </c>
      <c r="S32" s="144" t="s">
        <v>7</v>
      </c>
      <c r="T32" s="213"/>
      <c r="U32" s="145"/>
      <c r="V32" s="109" t="s">
        <v>708</v>
      </c>
      <c r="W32" s="60" t="s">
        <v>4</v>
      </c>
      <c r="X32" s="212" t="s">
        <v>84</v>
      </c>
      <c r="Y32" s="213"/>
      <c r="Z32" s="145"/>
      <c r="AA32" s="59" t="s">
        <v>82</v>
      </c>
      <c r="AB32" s="6" t="s">
        <v>8</v>
      </c>
      <c r="AC32" s="1"/>
    </row>
    <row r="33" spans="1:39" ht="17.25" customHeight="1" x14ac:dyDescent="0.25">
      <c r="A33" s="1"/>
      <c r="B33" s="99"/>
      <c r="C33" s="131"/>
      <c r="D33" s="122"/>
      <c r="E33" s="131"/>
      <c r="F33" s="122"/>
      <c r="G33" s="131"/>
      <c r="H33" s="122"/>
      <c r="I33" s="124"/>
      <c r="J33" s="125"/>
      <c r="K33" s="127"/>
      <c r="L33" s="128"/>
      <c r="M33" s="106" t="str">
        <f>IFERROR(IF(K33&lt;&gt;"",K33/I33,""),"ENTER QTY")</f>
        <v/>
      </c>
      <c r="N33" s="162"/>
      <c r="O33" s="163"/>
      <c r="P33" s="131"/>
      <c r="Q33" s="122"/>
      <c r="R33" s="100"/>
      <c r="S33" s="115">
        <v>0</v>
      </c>
      <c r="T33" s="116"/>
      <c r="U33" s="117"/>
      <c r="V33" s="108">
        <v>0</v>
      </c>
      <c r="W33" s="82">
        <f>(K33*S33) + IF(S33 = 0,V33,0)</f>
        <v>0</v>
      </c>
      <c r="X33" s="120"/>
      <c r="Y33" s="121"/>
      <c r="Z33" s="122"/>
      <c r="AA33" s="101">
        <v>0</v>
      </c>
      <c r="AB33" s="83">
        <f>AA33*I33</f>
        <v>0</v>
      </c>
      <c r="AC33" s="1"/>
    </row>
    <row r="34" spans="1:39" ht="17.25" customHeight="1" x14ac:dyDescent="0.25">
      <c r="A34" s="1"/>
      <c r="B34" s="99"/>
      <c r="C34" s="131"/>
      <c r="D34" s="122"/>
      <c r="E34" s="131"/>
      <c r="F34" s="122"/>
      <c r="G34" s="131"/>
      <c r="H34" s="122"/>
      <c r="I34" s="124"/>
      <c r="J34" s="125"/>
      <c r="K34" s="127"/>
      <c r="L34" s="128"/>
      <c r="M34" s="106" t="str">
        <f>IFERROR(IF(K34&lt;&gt;"",K34/I34,""),"ENTER QTY")</f>
        <v/>
      </c>
      <c r="N34" s="162"/>
      <c r="O34" s="163"/>
      <c r="P34" s="131"/>
      <c r="Q34" s="122"/>
      <c r="R34" s="100"/>
      <c r="S34" s="115">
        <v>0</v>
      </c>
      <c r="T34" s="116"/>
      <c r="U34" s="117"/>
      <c r="V34" s="108">
        <v>0</v>
      </c>
      <c r="W34" s="82">
        <f t="shared" ref="W34:W35" si="0">(K34*S34) + IF(S34 = 0,V34,0)</f>
        <v>0</v>
      </c>
      <c r="X34" s="120"/>
      <c r="Y34" s="121"/>
      <c r="Z34" s="122"/>
      <c r="AA34" s="101">
        <v>0</v>
      </c>
      <c r="AB34" s="83">
        <f>AA34*I34</f>
        <v>0</v>
      </c>
      <c r="AC34" s="1"/>
    </row>
    <row r="35" spans="1:39" ht="17.25" customHeight="1" x14ac:dyDescent="0.25">
      <c r="A35" s="1"/>
      <c r="B35" s="99"/>
      <c r="C35" s="131"/>
      <c r="D35" s="122"/>
      <c r="E35" s="131"/>
      <c r="F35" s="122"/>
      <c r="G35" s="131"/>
      <c r="H35" s="122"/>
      <c r="I35" s="124"/>
      <c r="J35" s="125"/>
      <c r="K35" s="127"/>
      <c r="L35" s="128"/>
      <c r="M35" s="106" t="str">
        <f>IFERROR(IF(K35&lt;&gt;"",K35/I35,""),"ENTER QTY")</f>
        <v/>
      </c>
      <c r="N35" s="162"/>
      <c r="O35" s="163"/>
      <c r="P35" s="131"/>
      <c r="Q35" s="122"/>
      <c r="R35" s="100"/>
      <c r="S35" s="115">
        <v>0</v>
      </c>
      <c r="T35" s="116"/>
      <c r="U35" s="117"/>
      <c r="V35" s="108">
        <v>0</v>
      </c>
      <c r="W35" s="82">
        <f t="shared" si="0"/>
        <v>0</v>
      </c>
      <c r="X35" s="120"/>
      <c r="Y35" s="121"/>
      <c r="Z35" s="122"/>
      <c r="AA35" s="101">
        <v>0</v>
      </c>
      <c r="AB35" s="83">
        <f>AA35*I35</f>
        <v>0</v>
      </c>
      <c r="AC35" s="1"/>
    </row>
    <row r="36" spans="1:39" ht="7.5" customHeight="1" x14ac:dyDescent="0.25">
      <c r="A36" s="1"/>
      <c r="B36" s="16"/>
      <c r="C36" s="12"/>
      <c r="D36" s="12"/>
      <c r="E36" s="12"/>
      <c r="F36" s="10"/>
      <c r="G36" s="53"/>
      <c r="H36" s="53"/>
      <c r="I36" s="17"/>
      <c r="J36" s="12"/>
      <c r="K36" s="81"/>
      <c r="L36" s="81"/>
      <c r="M36" s="81"/>
      <c r="N36" s="81"/>
      <c r="O36" s="81"/>
      <c r="P36" s="81"/>
      <c r="Q36" s="81"/>
      <c r="R36" s="39"/>
      <c r="S36" s="39"/>
      <c r="T36" s="39"/>
      <c r="U36" s="39"/>
      <c r="V36" s="39"/>
      <c r="W36" s="77"/>
      <c r="X36" s="77"/>
      <c r="Y36" s="65"/>
      <c r="Z36" s="65"/>
      <c r="AA36" s="12"/>
      <c r="AB36" s="12"/>
      <c r="AC36" s="1"/>
    </row>
    <row r="37" spans="1:39" ht="17.25" customHeight="1" x14ac:dyDescent="0.25">
      <c r="A37" s="1"/>
      <c r="B37" s="59" t="s">
        <v>92</v>
      </c>
      <c r="C37" s="263"/>
      <c r="D37" s="264"/>
      <c r="E37" s="264"/>
      <c r="F37" s="264"/>
      <c r="G37" s="264"/>
      <c r="H37" s="264"/>
      <c r="I37" s="18"/>
      <c r="J37" s="12"/>
      <c r="K37" s="19"/>
      <c r="L37" s="12"/>
      <c r="M37" s="12"/>
      <c r="N37" s="12"/>
      <c r="O37" s="12"/>
      <c r="P37" s="144" t="s">
        <v>37</v>
      </c>
      <c r="Q37" s="213"/>
      <c r="R37" s="145"/>
      <c r="S37" s="14"/>
      <c r="T37" s="15"/>
      <c r="U37" s="15"/>
      <c r="V37" s="15"/>
      <c r="W37" s="15"/>
      <c r="X37" s="77"/>
      <c r="Y37" s="12"/>
      <c r="Z37" s="12"/>
      <c r="AA37" s="15"/>
      <c r="AB37" s="15"/>
    </row>
    <row r="38" spans="1:39" x14ac:dyDescent="0.25">
      <c r="A38" s="1"/>
      <c r="B38" s="59" t="s">
        <v>153</v>
      </c>
      <c r="C38" s="137" t="s">
        <v>93</v>
      </c>
      <c r="D38" s="137"/>
      <c r="E38" s="137" t="s">
        <v>6</v>
      </c>
      <c r="F38" s="137"/>
      <c r="G38" s="137" t="s">
        <v>463</v>
      </c>
      <c r="H38" s="137"/>
      <c r="I38" s="144" t="s">
        <v>5</v>
      </c>
      <c r="J38" s="145"/>
      <c r="K38" s="137" t="s">
        <v>43</v>
      </c>
      <c r="L38" s="137"/>
      <c r="M38" s="59" t="s">
        <v>2</v>
      </c>
      <c r="N38" s="144" t="s">
        <v>12</v>
      </c>
      <c r="O38" s="145"/>
      <c r="P38" s="144" t="s">
        <v>11</v>
      </c>
      <c r="Q38" s="145"/>
      <c r="R38" s="59" t="s">
        <v>38</v>
      </c>
      <c r="S38" s="144" t="s">
        <v>7</v>
      </c>
      <c r="T38" s="213"/>
      <c r="U38" s="145"/>
      <c r="V38" s="109" t="s">
        <v>708</v>
      </c>
      <c r="W38" s="60" t="s">
        <v>4</v>
      </c>
      <c r="X38" s="212" t="s">
        <v>84</v>
      </c>
      <c r="Y38" s="213"/>
      <c r="Z38" s="145"/>
      <c r="AA38" s="59" t="s">
        <v>82</v>
      </c>
      <c r="AB38" s="6" t="s">
        <v>8</v>
      </c>
    </row>
    <row r="39" spans="1:39" x14ac:dyDescent="0.25">
      <c r="A39" s="1"/>
      <c r="B39" s="102" t="s">
        <v>460</v>
      </c>
      <c r="C39" s="119" t="s">
        <v>695</v>
      </c>
      <c r="D39" s="119"/>
      <c r="E39" s="157" t="s">
        <v>723</v>
      </c>
      <c r="F39" s="157"/>
      <c r="G39" s="131" t="s">
        <v>725</v>
      </c>
      <c r="H39" s="122"/>
      <c r="I39" s="124">
        <v>84</v>
      </c>
      <c r="J39" s="125"/>
      <c r="K39" s="126">
        <v>0.73</v>
      </c>
      <c r="L39" s="126"/>
      <c r="M39" s="106">
        <f t="shared" ref="M39:M53" si="1">IFERROR(IF(K39&lt;&gt;"",K39/I39,""),"ENTER QTY")</f>
        <v>8.6904761904761894E-3</v>
      </c>
      <c r="N39" s="129">
        <v>1.25</v>
      </c>
      <c r="O39" s="130"/>
      <c r="P39" s="127">
        <v>2</v>
      </c>
      <c r="Q39" s="128"/>
      <c r="R39" s="103">
        <v>2.5</v>
      </c>
      <c r="S39" s="115">
        <v>115</v>
      </c>
      <c r="T39" s="116"/>
      <c r="U39" s="117"/>
      <c r="V39" s="111">
        <v>0</v>
      </c>
      <c r="W39" s="24">
        <f>K39*S39 + IF(S39 = 0,V39,0)</f>
        <v>83.95</v>
      </c>
      <c r="X39" s="118" t="s">
        <v>33</v>
      </c>
      <c r="Y39" s="119"/>
      <c r="Z39" s="119"/>
      <c r="AA39" s="101">
        <v>0.25</v>
      </c>
      <c r="AB39" s="58">
        <f t="shared" ref="AB39:AB53" si="2">AA39*I39</f>
        <v>21</v>
      </c>
    </row>
    <row r="40" spans="1:39" x14ac:dyDescent="0.25">
      <c r="A40" s="1"/>
      <c r="B40" s="102" t="s">
        <v>460</v>
      </c>
      <c r="C40" s="119" t="s">
        <v>695</v>
      </c>
      <c r="D40" s="119"/>
      <c r="E40" s="157" t="s">
        <v>723</v>
      </c>
      <c r="F40" s="157"/>
      <c r="G40" s="131" t="s">
        <v>725</v>
      </c>
      <c r="H40" s="122"/>
      <c r="I40" s="124">
        <v>2</v>
      </c>
      <c r="J40" s="125"/>
      <c r="K40" s="127">
        <v>5.0599999999999999E-2</v>
      </c>
      <c r="L40" s="128"/>
      <c r="M40" s="106">
        <f t="shared" si="1"/>
        <v>2.53E-2</v>
      </c>
      <c r="N40" s="129">
        <v>1.8</v>
      </c>
      <c r="O40" s="130"/>
      <c r="P40" s="209">
        <v>6.5</v>
      </c>
      <c r="Q40" s="128"/>
      <c r="R40" s="113">
        <v>7</v>
      </c>
      <c r="S40" s="115">
        <v>87</v>
      </c>
      <c r="T40" s="116"/>
      <c r="U40" s="117"/>
      <c r="V40" s="111">
        <v>0</v>
      </c>
      <c r="W40" s="24">
        <f t="shared" ref="W40:W53" si="3">K40*S40 + IF(S40 = 0,V40,0)</f>
        <v>4.4021999999999997</v>
      </c>
      <c r="X40" s="118" t="s">
        <v>33</v>
      </c>
      <c r="Y40" s="119"/>
      <c r="Z40" s="119"/>
      <c r="AA40" s="101">
        <v>0.25</v>
      </c>
      <c r="AB40" s="58">
        <f t="shared" si="2"/>
        <v>0.5</v>
      </c>
      <c r="AI40" s="1"/>
      <c r="AJ40" s="1"/>
      <c r="AK40" s="1"/>
      <c r="AL40" s="1"/>
    </row>
    <row r="41" spans="1:39" x14ac:dyDescent="0.25">
      <c r="A41" s="1"/>
      <c r="B41" s="102" t="s">
        <v>460</v>
      </c>
      <c r="C41" s="119" t="s">
        <v>695</v>
      </c>
      <c r="D41" s="119"/>
      <c r="E41" s="157" t="s">
        <v>723</v>
      </c>
      <c r="F41" s="157"/>
      <c r="G41" s="131" t="s">
        <v>725</v>
      </c>
      <c r="H41" s="122"/>
      <c r="I41" s="123">
        <v>2</v>
      </c>
      <c r="J41" s="123"/>
      <c r="K41" s="126">
        <v>0.08</v>
      </c>
      <c r="L41" s="126"/>
      <c r="M41" s="106">
        <f t="shared" si="1"/>
        <v>0.04</v>
      </c>
      <c r="N41" s="129">
        <v>2.1</v>
      </c>
      <c r="O41" s="130"/>
      <c r="P41" s="127">
        <v>8</v>
      </c>
      <c r="Q41" s="128"/>
      <c r="R41" s="103">
        <v>8.5</v>
      </c>
      <c r="S41" s="115">
        <v>80</v>
      </c>
      <c r="T41" s="116"/>
      <c r="U41" s="117"/>
      <c r="V41" s="111">
        <v>0</v>
      </c>
      <c r="W41" s="24">
        <f t="shared" si="3"/>
        <v>6.4</v>
      </c>
      <c r="X41" s="118" t="s">
        <v>33</v>
      </c>
      <c r="Y41" s="119"/>
      <c r="Z41" s="119"/>
      <c r="AA41" s="101">
        <v>0.25</v>
      </c>
      <c r="AB41" s="58">
        <f t="shared" si="2"/>
        <v>0.5</v>
      </c>
      <c r="AC41" s="3"/>
      <c r="AD41" s="4"/>
      <c r="AE41" s="4"/>
      <c r="AF41" s="1"/>
      <c r="AG41" s="1"/>
      <c r="AH41" s="1"/>
      <c r="AI41" s="1"/>
      <c r="AJ41" s="1"/>
      <c r="AK41" s="1"/>
      <c r="AL41" s="1"/>
    </row>
    <row r="42" spans="1:39" x14ac:dyDescent="0.25">
      <c r="A42" s="1"/>
      <c r="B42" s="102" t="s">
        <v>460</v>
      </c>
      <c r="C42" s="119" t="s">
        <v>695</v>
      </c>
      <c r="D42" s="119"/>
      <c r="E42" s="157" t="s">
        <v>723</v>
      </c>
      <c r="F42" s="157"/>
      <c r="G42" s="131" t="s">
        <v>725</v>
      </c>
      <c r="H42" s="122"/>
      <c r="I42" s="123">
        <v>2</v>
      </c>
      <c r="J42" s="123"/>
      <c r="K42" s="126">
        <v>0.12</v>
      </c>
      <c r="L42" s="126"/>
      <c r="M42" s="106">
        <f t="shared" si="1"/>
        <v>0.06</v>
      </c>
      <c r="N42" s="129">
        <v>2.4</v>
      </c>
      <c r="O42" s="130"/>
      <c r="P42" s="127">
        <v>9.5</v>
      </c>
      <c r="Q42" s="128"/>
      <c r="R42" s="103">
        <v>10</v>
      </c>
      <c r="S42" s="115">
        <v>73</v>
      </c>
      <c r="T42" s="116"/>
      <c r="U42" s="117"/>
      <c r="V42" s="111">
        <v>0</v>
      </c>
      <c r="W42" s="24">
        <f t="shared" si="3"/>
        <v>8.76</v>
      </c>
      <c r="X42" s="118" t="s">
        <v>33</v>
      </c>
      <c r="Y42" s="119"/>
      <c r="Z42" s="119"/>
      <c r="AA42" s="101">
        <v>0.25</v>
      </c>
      <c r="AB42" s="58">
        <f t="shared" si="2"/>
        <v>0.5</v>
      </c>
      <c r="AC42" s="1"/>
      <c r="AD42" s="5"/>
      <c r="AE42" s="1"/>
      <c r="AH42" s="1"/>
      <c r="AI42" s="1"/>
      <c r="AJ42" s="1"/>
      <c r="AK42" s="1"/>
      <c r="AL42" s="1"/>
      <c r="AM42" s="1"/>
    </row>
    <row r="43" spans="1:39" x14ac:dyDescent="0.25">
      <c r="A43" s="1"/>
      <c r="B43" s="102" t="s">
        <v>460</v>
      </c>
      <c r="C43" s="119" t="s">
        <v>695</v>
      </c>
      <c r="D43" s="119"/>
      <c r="E43" s="157" t="s">
        <v>723</v>
      </c>
      <c r="F43" s="157"/>
      <c r="G43" s="131" t="s">
        <v>725</v>
      </c>
      <c r="H43" s="122"/>
      <c r="I43" s="123">
        <v>2</v>
      </c>
      <c r="J43" s="123"/>
      <c r="K43" s="127">
        <v>0.16320000000000001</v>
      </c>
      <c r="L43" s="128"/>
      <c r="M43" s="106">
        <f t="shared" si="1"/>
        <v>8.1600000000000006E-2</v>
      </c>
      <c r="N43" s="129">
        <v>2.7</v>
      </c>
      <c r="O43" s="130"/>
      <c r="P43" s="127">
        <v>11</v>
      </c>
      <c r="Q43" s="128"/>
      <c r="R43" s="103">
        <v>11.5</v>
      </c>
      <c r="S43" s="115">
        <v>80</v>
      </c>
      <c r="T43" s="116"/>
      <c r="U43" s="117"/>
      <c r="V43" s="111">
        <v>0</v>
      </c>
      <c r="W43" s="24">
        <f t="shared" si="3"/>
        <v>13.056000000000001</v>
      </c>
      <c r="X43" s="118" t="s">
        <v>33</v>
      </c>
      <c r="Y43" s="119"/>
      <c r="Z43" s="119"/>
      <c r="AA43" s="101">
        <v>0.25</v>
      </c>
      <c r="AB43" s="58">
        <f t="shared" si="2"/>
        <v>0.5</v>
      </c>
      <c r="AC43" s="1"/>
      <c r="AD43" s="5"/>
      <c r="AE43" s="1"/>
      <c r="AF43" s="1"/>
      <c r="AG43" s="1"/>
      <c r="AH43" s="1"/>
      <c r="AI43" s="1"/>
      <c r="AJ43" s="1"/>
      <c r="AK43" s="1"/>
      <c r="AL43" s="1"/>
      <c r="AM43" s="1"/>
    </row>
    <row r="44" spans="1:39" x14ac:dyDescent="0.25">
      <c r="A44" s="1"/>
      <c r="B44" s="102" t="s">
        <v>460</v>
      </c>
      <c r="C44" s="119" t="s">
        <v>695</v>
      </c>
      <c r="D44" s="119"/>
      <c r="E44" s="157" t="s">
        <v>723</v>
      </c>
      <c r="F44" s="157"/>
      <c r="G44" s="131" t="s">
        <v>725</v>
      </c>
      <c r="H44" s="122"/>
      <c r="I44" s="123">
        <v>2</v>
      </c>
      <c r="J44" s="123"/>
      <c r="K44" s="126">
        <v>0.245</v>
      </c>
      <c r="L44" s="126"/>
      <c r="M44" s="106">
        <f t="shared" si="1"/>
        <v>0.1225</v>
      </c>
      <c r="N44" s="129">
        <v>3.1</v>
      </c>
      <c r="O44" s="130"/>
      <c r="P44" s="127">
        <v>13</v>
      </c>
      <c r="Q44" s="128"/>
      <c r="R44" s="103">
        <v>13.5</v>
      </c>
      <c r="S44" s="115">
        <v>80</v>
      </c>
      <c r="T44" s="116"/>
      <c r="U44" s="117"/>
      <c r="V44" s="111">
        <v>0</v>
      </c>
      <c r="W44" s="24">
        <f t="shared" si="3"/>
        <v>19.600000000000001</v>
      </c>
      <c r="X44" s="118" t="s">
        <v>33</v>
      </c>
      <c r="Y44" s="119"/>
      <c r="Z44" s="119"/>
      <c r="AA44" s="101">
        <v>0.25</v>
      </c>
      <c r="AB44" s="58">
        <f t="shared" si="2"/>
        <v>0.5</v>
      </c>
      <c r="AC44" s="1"/>
      <c r="AD44" s="5"/>
      <c r="AE44" s="1"/>
      <c r="AF44" s="2"/>
      <c r="AG44" s="2"/>
      <c r="AH44" s="2"/>
      <c r="AI44" s="1"/>
      <c r="AJ44" s="1"/>
      <c r="AK44" s="1"/>
      <c r="AL44" s="1"/>
      <c r="AM44" s="1"/>
    </row>
    <row r="45" spans="1:39" x14ac:dyDescent="0.25">
      <c r="A45" s="1"/>
      <c r="B45" s="102" t="s">
        <v>460</v>
      </c>
      <c r="C45" s="119" t="s">
        <v>695</v>
      </c>
      <c r="D45" s="119"/>
      <c r="E45" s="157" t="s">
        <v>723</v>
      </c>
      <c r="F45" s="157"/>
      <c r="G45" s="131" t="s">
        <v>725</v>
      </c>
      <c r="H45" s="122"/>
      <c r="I45" s="124">
        <v>1</v>
      </c>
      <c r="J45" s="125"/>
      <c r="K45" s="126">
        <v>0.16259999999999999</v>
      </c>
      <c r="L45" s="126"/>
      <c r="M45" s="106">
        <f t="shared" si="1"/>
        <v>0.16259999999999999</v>
      </c>
      <c r="N45" s="129">
        <v>3.4</v>
      </c>
      <c r="O45" s="130"/>
      <c r="P45" s="209">
        <v>14.5</v>
      </c>
      <c r="Q45" s="128"/>
      <c r="R45" s="113">
        <v>15</v>
      </c>
      <c r="S45" s="115">
        <v>87</v>
      </c>
      <c r="T45" s="116"/>
      <c r="U45" s="117"/>
      <c r="V45" s="111">
        <v>0</v>
      </c>
      <c r="W45" s="24">
        <f t="shared" si="3"/>
        <v>14.1462</v>
      </c>
      <c r="X45" s="118" t="s">
        <v>33</v>
      </c>
      <c r="Y45" s="119"/>
      <c r="Z45" s="119"/>
      <c r="AA45" s="101">
        <v>0.25</v>
      </c>
      <c r="AB45" s="58">
        <f t="shared" si="2"/>
        <v>0.25</v>
      </c>
      <c r="AC45" s="1"/>
      <c r="AD45" s="5"/>
      <c r="AE45" s="1"/>
      <c r="AF45" s="2"/>
      <c r="AG45" s="2"/>
      <c r="AH45" s="2"/>
      <c r="AI45" s="1"/>
      <c r="AJ45" s="1"/>
      <c r="AK45" s="1"/>
      <c r="AL45" s="1"/>
      <c r="AM45" s="1"/>
    </row>
    <row r="46" spans="1:39" x14ac:dyDescent="0.25">
      <c r="A46" s="1"/>
      <c r="B46" s="102"/>
      <c r="C46" s="119"/>
      <c r="D46" s="119"/>
      <c r="E46" s="157"/>
      <c r="F46" s="157"/>
      <c r="G46" s="131"/>
      <c r="H46" s="122"/>
      <c r="I46" s="124"/>
      <c r="J46" s="125"/>
      <c r="K46" s="127"/>
      <c r="L46" s="128"/>
      <c r="M46" s="106" t="str">
        <f t="shared" si="1"/>
        <v/>
      </c>
      <c r="N46" s="129"/>
      <c r="O46" s="130"/>
      <c r="P46" s="209"/>
      <c r="Q46" s="128"/>
      <c r="R46" s="103"/>
      <c r="S46" s="115">
        <v>0</v>
      </c>
      <c r="T46" s="116"/>
      <c r="U46" s="117"/>
      <c r="V46" s="111">
        <v>0</v>
      </c>
      <c r="W46" s="24">
        <f t="shared" si="3"/>
        <v>0</v>
      </c>
      <c r="X46" s="118"/>
      <c r="Y46" s="119"/>
      <c r="Z46" s="119"/>
      <c r="AA46" s="101">
        <v>0</v>
      </c>
      <c r="AB46" s="58">
        <f t="shared" si="2"/>
        <v>0</v>
      </c>
      <c r="AC46" s="1"/>
      <c r="AD46" s="5"/>
      <c r="AE46" s="1"/>
      <c r="AF46" s="2"/>
      <c r="AG46" s="2"/>
      <c r="AH46" s="2"/>
      <c r="AI46" s="1"/>
      <c r="AJ46" s="1"/>
      <c r="AK46" s="1"/>
      <c r="AL46" s="1"/>
      <c r="AM46" s="1"/>
    </row>
    <row r="47" spans="1:39" x14ac:dyDescent="0.25">
      <c r="A47" s="1"/>
      <c r="B47" s="102"/>
      <c r="C47" s="119"/>
      <c r="D47" s="119"/>
      <c r="E47" s="119"/>
      <c r="F47" s="119"/>
      <c r="G47" s="131"/>
      <c r="H47" s="122"/>
      <c r="I47" s="124"/>
      <c r="J47" s="125"/>
      <c r="K47" s="126"/>
      <c r="L47" s="126"/>
      <c r="M47" s="106" t="str">
        <f t="shared" si="1"/>
        <v/>
      </c>
      <c r="N47" s="129"/>
      <c r="O47" s="130"/>
      <c r="P47" s="209"/>
      <c r="Q47" s="128"/>
      <c r="R47" s="103"/>
      <c r="S47" s="115">
        <v>0</v>
      </c>
      <c r="T47" s="116"/>
      <c r="U47" s="117"/>
      <c r="V47" s="111">
        <v>0</v>
      </c>
      <c r="W47" s="24">
        <f t="shared" si="3"/>
        <v>0</v>
      </c>
      <c r="X47" s="118"/>
      <c r="Y47" s="119"/>
      <c r="Z47" s="119"/>
      <c r="AA47" s="101">
        <v>0</v>
      </c>
      <c r="AB47" s="58">
        <f t="shared" si="2"/>
        <v>0</v>
      </c>
      <c r="AC47" s="1"/>
      <c r="AD47" s="5"/>
      <c r="AE47" s="1"/>
      <c r="AF47" s="2"/>
      <c r="AG47" s="2"/>
      <c r="AH47" s="2"/>
      <c r="AI47" s="1"/>
      <c r="AJ47" s="1"/>
      <c r="AK47" s="1"/>
      <c r="AL47" s="1"/>
      <c r="AM47" s="1"/>
    </row>
    <row r="48" spans="1:39" x14ac:dyDescent="0.25">
      <c r="A48" s="1"/>
      <c r="B48" s="102"/>
      <c r="C48" s="119"/>
      <c r="D48" s="119"/>
      <c r="E48" s="119"/>
      <c r="F48" s="119"/>
      <c r="G48" s="131"/>
      <c r="H48" s="122"/>
      <c r="I48" s="123"/>
      <c r="J48" s="123"/>
      <c r="K48" s="126"/>
      <c r="L48" s="126"/>
      <c r="M48" s="106" t="str">
        <f t="shared" si="1"/>
        <v/>
      </c>
      <c r="N48" s="129"/>
      <c r="O48" s="130"/>
      <c r="P48" s="209"/>
      <c r="Q48" s="128"/>
      <c r="R48" s="113"/>
      <c r="S48" s="115">
        <v>0</v>
      </c>
      <c r="T48" s="116"/>
      <c r="U48" s="117"/>
      <c r="V48" s="112">
        <v>0</v>
      </c>
      <c r="W48" s="24">
        <f t="shared" si="3"/>
        <v>0</v>
      </c>
      <c r="X48" s="118"/>
      <c r="Y48" s="119"/>
      <c r="Z48" s="119"/>
      <c r="AA48" s="101">
        <v>0</v>
      </c>
      <c r="AB48" s="58">
        <f t="shared" si="2"/>
        <v>0</v>
      </c>
      <c r="AC48" s="1"/>
      <c r="AD48" s="5"/>
      <c r="AE48" s="1"/>
      <c r="AF48" s="2"/>
      <c r="AG48" s="2"/>
      <c r="AH48" s="2"/>
      <c r="AI48" s="1"/>
      <c r="AJ48" s="1"/>
      <c r="AK48" s="1"/>
      <c r="AL48" s="1"/>
      <c r="AM48" s="1"/>
    </row>
    <row r="49" spans="1:39" x14ac:dyDescent="0.25">
      <c r="A49" s="1"/>
      <c r="B49" s="102"/>
      <c r="C49" s="131"/>
      <c r="D49" s="122"/>
      <c r="E49" s="131"/>
      <c r="F49" s="122"/>
      <c r="G49" s="131"/>
      <c r="H49" s="122"/>
      <c r="I49" s="124"/>
      <c r="J49" s="125"/>
      <c r="K49" s="127"/>
      <c r="L49" s="128"/>
      <c r="M49" s="106" t="str">
        <f t="shared" si="1"/>
        <v/>
      </c>
      <c r="N49" s="129"/>
      <c r="O49" s="130"/>
      <c r="P49" s="127"/>
      <c r="Q49" s="128"/>
      <c r="R49" s="103"/>
      <c r="S49" s="115">
        <v>0</v>
      </c>
      <c r="T49" s="116"/>
      <c r="U49" s="117"/>
      <c r="V49" s="112">
        <v>0</v>
      </c>
      <c r="W49" s="24">
        <f t="shared" si="3"/>
        <v>0</v>
      </c>
      <c r="X49" s="120"/>
      <c r="Y49" s="121"/>
      <c r="Z49" s="122"/>
      <c r="AA49" s="101">
        <v>0</v>
      </c>
      <c r="AB49" s="58">
        <f t="shared" si="2"/>
        <v>0</v>
      </c>
      <c r="AC49" s="1"/>
      <c r="AD49" s="5"/>
      <c r="AE49" s="1"/>
      <c r="AF49" s="2"/>
      <c r="AG49" s="2"/>
      <c r="AH49" s="2"/>
      <c r="AI49" s="1"/>
      <c r="AJ49" s="1"/>
      <c r="AK49" s="1"/>
      <c r="AL49" s="1"/>
      <c r="AM49" s="1"/>
    </row>
    <row r="50" spans="1:39" x14ac:dyDescent="0.25">
      <c r="A50" s="1"/>
      <c r="B50" s="102"/>
      <c r="C50" s="131"/>
      <c r="D50" s="122"/>
      <c r="E50" s="131"/>
      <c r="F50" s="122"/>
      <c r="G50" s="131"/>
      <c r="H50" s="122"/>
      <c r="I50" s="124"/>
      <c r="J50" s="125"/>
      <c r="K50" s="127"/>
      <c r="L50" s="128"/>
      <c r="M50" s="106" t="str">
        <f t="shared" si="1"/>
        <v/>
      </c>
      <c r="N50" s="129"/>
      <c r="O50" s="130"/>
      <c r="P50" s="127"/>
      <c r="Q50" s="128"/>
      <c r="R50" s="103"/>
      <c r="S50" s="115">
        <v>0</v>
      </c>
      <c r="T50" s="116"/>
      <c r="U50" s="117"/>
      <c r="V50" s="112">
        <v>0</v>
      </c>
      <c r="W50" s="24">
        <f t="shared" si="3"/>
        <v>0</v>
      </c>
      <c r="X50" s="120"/>
      <c r="Y50" s="121"/>
      <c r="Z50" s="122"/>
      <c r="AA50" s="101">
        <v>0</v>
      </c>
      <c r="AB50" s="58">
        <f t="shared" si="2"/>
        <v>0</v>
      </c>
      <c r="AC50" s="1"/>
      <c r="AD50" s="5"/>
      <c r="AE50" s="1"/>
      <c r="AF50" s="2"/>
      <c r="AG50" s="2"/>
      <c r="AH50" s="2"/>
      <c r="AI50" s="1"/>
      <c r="AJ50" s="1"/>
      <c r="AK50" s="1"/>
      <c r="AL50" s="1"/>
      <c r="AM50" s="1"/>
    </row>
    <row r="51" spans="1:39" x14ac:dyDescent="0.25">
      <c r="A51" s="1"/>
      <c r="B51" s="102"/>
      <c r="C51" s="131"/>
      <c r="D51" s="122"/>
      <c r="E51" s="131"/>
      <c r="F51" s="122"/>
      <c r="G51" s="131"/>
      <c r="H51" s="122"/>
      <c r="I51" s="124"/>
      <c r="J51" s="125"/>
      <c r="K51" s="127"/>
      <c r="L51" s="128"/>
      <c r="M51" s="106" t="str">
        <f t="shared" si="1"/>
        <v/>
      </c>
      <c r="N51" s="129"/>
      <c r="O51" s="130"/>
      <c r="P51" s="127"/>
      <c r="Q51" s="128"/>
      <c r="R51" s="103"/>
      <c r="S51" s="115">
        <v>0</v>
      </c>
      <c r="T51" s="116"/>
      <c r="U51" s="117"/>
      <c r="V51" s="112">
        <v>0</v>
      </c>
      <c r="W51" s="24">
        <f t="shared" si="3"/>
        <v>0</v>
      </c>
      <c r="X51" s="120"/>
      <c r="Y51" s="121"/>
      <c r="Z51" s="122"/>
      <c r="AA51" s="101">
        <v>0</v>
      </c>
      <c r="AB51" s="58">
        <f t="shared" si="2"/>
        <v>0</v>
      </c>
      <c r="AC51" s="1"/>
      <c r="AD51" s="5"/>
      <c r="AE51" s="1"/>
      <c r="AF51" s="2"/>
      <c r="AG51" s="2"/>
      <c r="AH51" s="2"/>
      <c r="AI51" s="1"/>
      <c r="AJ51" s="1"/>
      <c r="AK51" s="1"/>
      <c r="AL51" s="1"/>
      <c r="AM51" s="1"/>
    </row>
    <row r="52" spans="1:39" x14ac:dyDescent="0.25">
      <c r="A52" s="1"/>
      <c r="B52" s="102"/>
      <c r="C52" s="131"/>
      <c r="D52" s="122"/>
      <c r="E52" s="131"/>
      <c r="F52" s="122"/>
      <c r="G52" s="131"/>
      <c r="H52" s="122"/>
      <c r="I52" s="124"/>
      <c r="J52" s="125"/>
      <c r="K52" s="127"/>
      <c r="L52" s="128"/>
      <c r="M52" s="106" t="str">
        <f t="shared" si="1"/>
        <v/>
      </c>
      <c r="N52" s="129"/>
      <c r="O52" s="130"/>
      <c r="P52" s="127"/>
      <c r="Q52" s="128"/>
      <c r="R52" s="103"/>
      <c r="S52" s="115">
        <v>0</v>
      </c>
      <c r="T52" s="116"/>
      <c r="U52" s="117"/>
      <c r="V52" s="112">
        <v>0</v>
      </c>
      <c r="W52" s="24">
        <f t="shared" si="3"/>
        <v>0</v>
      </c>
      <c r="X52" s="120"/>
      <c r="Y52" s="121"/>
      <c r="Z52" s="122"/>
      <c r="AA52" s="101">
        <v>0</v>
      </c>
      <c r="AB52" s="58">
        <f t="shared" si="2"/>
        <v>0</v>
      </c>
      <c r="AC52" s="1"/>
      <c r="AD52" s="5"/>
      <c r="AE52" s="1"/>
      <c r="AF52" s="2"/>
      <c r="AG52" s="2"/>
      <c r="AH52" s="2"/>
      <c r="AI52" s="1"/>
      <c r="AJ52" s="1"/>
      <c r="AK52" s="1"/>
      <c r="AL52" s="1"/>
      <c r="AM52" s="1"/>
    </row>
    <row r="53" spans="1:39" x14ac:dyDescent="0.25">
      <c r="A53" s="1"/>
      <c r="B53" s="102"/>
      <c r="C53" s="119"/>
      <c r="D53" s="119"/>
      <c r="E53" s="157"/>
      <c r="F53" s="157"/>
      <c r="G53" s="131"/>
      <c r="H53" s="122"/>
      <c r="I53" s="123"/>
      <c r="J53" s="123"/>
      <c r="K53" s="126"/>
      <c r="L53" s="126"/>
      <c r="M53" s="106" t="str">
        <f t="shared" si="1"/>
        <v/>
      </c>
      <c r="N53" s="129"/>
      <c r="O53" s="130"/>
      <c r="P53" s="127"/>
      <c r="Q53" s="128"/>
      <c r="R53" s="103"/>
      <c r="S53" s="115">
        <v>0</v>
      </c>
      <c r="T53" s="116"/>
      <c r="U53" s="117"/>
      <c r="V53" s="111">
        <v>0</v>
      </c>
      <c r="W53" s="24">
        <f t="shared" si="3"/>
        <v>0</v>
      </c>
      <c r="X53" s="118"/>
      <c r="Y53" s="119"/>
      <c r="Z53" s="119"/>
      <c r="AA53" s="101">
        <v>0</v>
      </c>
      <c r="AB53" s="58">
        <f t="shared" si="2"/>
        <v>0</v>
      </c>
      <c r="AC53" s="1"/>
      <c r="AD53" s="5"/>
      <c r="AE53" s="1"/>
      <c r="AF53" s="2"/>
      <c r="AG53" s="2"/>
      <c r="AH53" s="2"/>
      <c r="AI53" s="1"/>
      <c r="AJ53" s="1"/>
      <c r="AK53" s="1"/>
      <c r="AL53" s="1"/>
      <c r="AM53" s="1"/>
    </row>
    <row r="54" spans="1:39" ht="6.75" customHeight="1" thickBot="1" x14ac:dyDescent="0.3">
      <c r="A54" s="1"/>
      <c r="B54" s="84"/>
      <c r="C54" s="39"/>
      <c r="D54" s="39"/>
      <c r="E54" s="39"/>
      <c r="F54" s="39"/>
      <c r="G54" s="85"/>
      <c r="H54" s="85"/>
      <c r="I54" s="85"/>
      <c r="J54" s="39"/>
      <c r="K54" s="62"/>
      <c r="L54" s="62"/>
      <c r="M54" s="62"/>
      <c r="N54" s="62"/>
      <c r="O54" s="62"/>
      <c r="P54" s="19"/>
      <c r="Q54" s="19"/>
      <c r="R54" s="62"/>
      <c r="S54" s="62"/>
      <c r="T54" s="38"/>
      <c r="U54" s="38"/>
      <c r="V54" s="38"/>
      <c r="W54" s="37"/>
      <c r="X54" s="39"/>
      <c r="Y54" s="39"/>
      <c r="Z54" s="39"/>
      <c r="AA54" s="37"/>
      <c r="AB54" s="38"/>
      <c r="AC54" s="1"/>
      <c r="AD54" s="5"/>
      <c r="AE54" s="1"/>
      <c r="AF54" s="2"/>
      <c r="AG54" s="2"/>
      <c r="AH54" s="2"/>
      <c r="AI54" s="1"/>
      <c r="AJ54" s="1"/>
      <c r="AK54" s="1"/>
      <c r="AL54" s="1"/>
      <c r="AM54" s="1"/>
    </row>
    <row r="55" spans="1:39" ht="14.4" thickBot="1" x14ac:dyDescent="0.3">
      <c r="A55" s="1"/>
      <c r="B55" s="84"/>
      <c r="C55" s="138"/>
      <c r="D55" s="138"/>
      <c r="E55" s="138"/>
      <c r="F55" s="138"/>
      <c r="G55" s="140" t="s">
        <v>91</v>
      </c>
      <c r="H55" s="141"/>
      <c r="I55" s="182">
        <f>SUM(I33:J35,I39:J53)</f>
        <v>95</v>
      </c>
      <c r="J55" s="183"/>
      <c r="K55" s="139"/>
      <c r="L55" s="139"/>
      <c r="M55" s="62"/>
      <c r="N55" s="62"/>
      <c r="O55" s="62"/>
      <c r="P55" s="19"/>
      <c r="Q55" s="19"/>
      <c r="R55" s="62"/>
      <c r="S55" s="77"/>
      <c r="T55" s="77"/>
      <c r="U55" s="77"/>
      <c r="V55" s="110" t="s">
        <v>9</v>
      </c>
      <c r="W55" s="26">
        <f>SUM(W33:W35,W39:W53)</f>
        <v>150.31440000000001</v>
      </c>
      <c r="X55" s="12"/>
      <c r="Y55" s="176" t="s">
        <v>10</v>
      </c>
      <c r="Z55" s="177"/>
      <c r="AA55" s="181"/>
      <c r="AB55" s="25">
        <f>SUM(AB39:AB53,AB33:AB35)</f>
        <v>23.75</v>
      </c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9" ht="14.4" thickBot="1" x14ac:dyDescent="0.3">
      <c r="A56" s="1"/>
      <c r="B56" s="12"/>
      <c r="C56" s="12"/>
      <c r="D56" s="20"/>
      <c r="E56" s="77"/>
      <c r="F56" s="77"/>
      <c r="G56" s="77"/>
      <c r="H56" s="77"/>
      <c r="I56" s="176" t="s">
        <v>43</v>
      </c>
      <c r="J56" s="181"/>
      <c r="K56" s="142">
        <f>SUM(K33:L35,K39:L53)</f>
        <v>1.5513999999999999</v>
      </c>
      <c r="L56" s="143"/>
      <c r="M56" s="62"/>
      <c r="N56" s="62"/>
      <c r="O56" s="62"/>
      <c r="P56" s="86"/>
      <c r="Q56" s="86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1"/>
      <c r="AD56" s="1"/>
      <c r="AE56" s="87"/>
      <c r="AF56" s="1"/>
      <c r="AG56" s="1"/>
      <c r="AH56" s="1"/>
      <c r="AI56" s="1"/>
      <c r="AJ56" s="1"/>
      <c r="AK56" s="1"/>
      <c r="AL56" s="1"/>
    </row>
    <row r="57" spans="1:39" ht="14.4" thickBot="1" x14ac:dyDescent="0.3">
      <c r="A57" s="1"/>
      <c r="B57" s="63" t="s">
        <v>56</v>
      </c>
      <c r="C57" s="179" t="s">
        <v>718</v>
      </c>
      <c r="D57" s="180"/>
      <c r="E57" s="20"/>
      <c r="F57" s="20"/>
      <c r="G57" s="176" t="s">
        <v>483</v>
      </c>
      <c r="H57" s="177"/>
      <c r="I57" s="177"/>
      <c r="J57" s="178"/>
      <c r="K57" s="155">
        <v>1.5</v>
      </c>
      <c r="L57" s="156"/>
      <c r="M57" s="88"/>
      <c r="N57" s="88"/>
      <c r="O57" s="88"/>
      <c r="P57" s="77"/>
      <c r="Q57" s="77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"/>
      <c r="AD57" s="1"/>
      <c r="AE57" s="89"/>
      <c r="AF57" s="1"/>
      <c r="AG57" s="1"/>
      <c r="AH57" s="1"/>
      <c r="AI57" s="1"/>
      <c r="AJ57" s="1"/>
      <c r="AK57" s="1"/>
      <c r="AL57" s="1"/>
    </row>
    <row r="58" spans="1:39" ht="9.75" customHeight="1" thickBot="1" x14ac:dyDescent="0.3">
      <c r="A58" s="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"/>
      <c r="AD58" s="1"/>
      <c r="AE58" s="89"/>
      <c r="AF58" s="2"/>
      <c r="AG58" s="2"/>
      <c r="AH58" s="2"/>
      <c r="AI58" s="1"/>
      <c r="AJ58" s="1"/>
      <c r="AK58" s="1"/>
      <c r="AL58" s="1"/>
      <c r="AM58" s="1"/>
    </row>
    <row r="59" spans="1:39" ht="14.4" thickBot="1" x14ac:dyDescent="0.3">
      <c r="A59" s="1"/>
      <c r="B59" s="176" t="s">
        <v>73</v>
      </c>
      <c r="C59" s="177"/>
      <c r="D59" s="177"/>
      <c r="E59" s="177"/>
      <c r="F59" s="177"/>
      <c r="G59" s="177"/>
      <c r="H59" s="177"/>
      <c r="I59" s="177"/>
      <c r="J59" s="177"/>
      <c r="K59" s="178"/>
      <c r="L59" s="10"/>
      <c r="M59" s="239" t="s">
        <v>16</v>
      </c>
      <c r="N59" s="240"/>
      <c r="O59" s="240"/>
      <c r="P59" s="240"/>
      <c r="Q59" s="240"/>
      <c r="R59" s="240"/>
      <c r="S59" s="240"/>
      <c r="T59" s="241"/>
      <c r="U59" s="77"/>
      <c r="V59" s="77"/>
      <c r="W59" s="176" t="s">
        <v>96</v>
      </c>
      <c r="X59" s="181"/>
      <c r="Y59" s="90" t="s">
        <v>4</v>
      </c>
      <c r="Z59" s="22"/>
      <c r="AA59" s="176" t="s">
        <v>97</v>
      </c>
      <c r="AB59" s="178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6.75" customHeight="1" thickBot="1" x14ac:dyDescent="0.3">
      <c r="A60" s="1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206"/>
      <c r="Q60" s="206"/>
      <c r="R60" s="206"/>
      <c r="S60" s="61"/>
      <c r="T60" s="21"/>
      <c r="U60" s="21"/>
      <c r="V60" s="21"/>
      <c r="W60" s="77"/>
      <c r="X60" s="12"/>
      <c r="Y60" s="12"/>
      <c r="Z60" s="77"/>
      <c r="AA60" s="77"/>
      <c r="AB60" s="77"/>
      <c r="AC60" s="1"/>
      <c r="AD60" s="1"/>
      <c r="AJ60" s="1"/>
      <c r="AK60" s="1"/>
      <c r="AL60" s="1"/>
      <c r="AM60" s="1"/>
    </row>
    <row r="61" spans="1:39" ht="14.4" thickTop="1" x14ac:dyDescent="0.25">
      <c r="A61" s="1"/>
      <c r="B61" s="265" t="s">
        <v>58</v>
      </c>
      <c r="C61" s="266"/>
      <c r="D61" s="267"/>
      <c r="E61" s="12"/>
      <c r="F61" s="150" t="s">
        <v>59</v>
      </c>
      <c r="G61" s="150"/>
      <c r="H61" s="14"/>
      <c r="I61" s="137" t="s">
        <v>68</v>
      </c>
      <c r="J61" s="137"/>
      <c r="K61" s="137"/>
      <c r="L61" s="10"/>
      <c r="M61" s="197" t="s">
        <v>724</v>
      </c>
      <c r="N61" s="198"/>
      <c r="O61" s="198"/>
      <c r="P61" s="198"/>
      <c r="Q61" s="198"/>
      <c r="R61" s="198"/>
      <c r="S61" s="198"/>
      <c r="T61" s="199"/>
      <c r="U61" s="77"/>
      <c r="V61" s="77"/>
      <c r="W61" s="216" t="s">
        <v>698</v>
      </c>
      <c r="X61" s="217"/>
      <c r="Y61" s="33">
        <v>6</v>
      </c>
      <c r="Z61" s="12"/>
      <c r="AA61" s="91" t="s">
        <v>4</v>
      </c>
      <c r="AB61" s="92"/>
      <c r="AC61" s="1"/>
      <c r="AD61" s="1"/>
      <c r="AJ61" s="1"/>
      <c r="AK61" s="1"/>
      <c r="AL61" s="1"/>
      <c r="AM61" s="1"/>
    </row>
    <row r="62" spans="1:39" ht="14.4" thickBot="1" x14ac:dyDescent="0.3">
      <c r="A62" s="1"/>
      <c r="B62" s="151" t="s">
        <v>63</v>
      </c>
      <c r="C62" s="152"/>
      <c r="D62" s="114"/>
      <c r="E62" s="12"/>
      <c r="F62" s="93" t="s">
        <v>60</v>
      </c>
      <c r="G62" s="9"/>
      <c r="H62" s="12"/>
      <c r="I62" s="151" t="s">
        <v>69</v>
      </c>
      <c r="J62" s="152"/>
      <c r="K62" s="9"/>
      <c r="L62" s="12"/>
      <c r="M62" s="200"/>
      <c r="N62" s="201"/>
      <c r="O62" s="201"/>
      <c r="P62" s="201"/>
      <c r="Q62" s="201"/>
      <c r="R62" s="201"/>
      <c r="S62" s="201"/>
      <c r="T62" s="202"/>
      <c r="U62" s="77"/>
      <c r="V62" s="77"/>
      <c r="W62" s="214" t="s">
        <v>699</v>
      </c>
      <c r="X62" s="215"/>
      <c r="Y62" s="32">
        <v>2.5</v>
      </c>
      <c r="Z62" s="12"/>
      <c r="AA62" s="94" t="s">
        <v>98</v>
      </c>
      <c r="AB62" s="95">
        <f>AB61*G22</f>
        <v>0</v>
      </c>
      <c r="AC62" s="1"/>
      <c r="AD62" s="1"/>
      <c r="AJ62" s="1"/>
      <c r="AK62" s="1"/>
      <c r="AL62" s="1"/>
      <c r="AM62" s="1"/>
    </row>
    <row r="63" spans="1:39" x14ac:dyDescent="0.25">
      <c r="B63" s="153" t="s">
        <v>64</v>
      </c>
      <c r="C63" s="154"/>
      <c r="D63" s="9"/>
      <c r="E63" s="77"/>
      <c r="F63" s="93" t="s">
        <v>61</v>
      </c>
      <c r="G63" s="9"/>
      <c r="H63" s="12"/>
      <c r="I63" s="151" t="s">
        <v>51</v>
      </c>
      <c r="J63" s="152"/>
      <c r="K63" s="9"/>
      <c r="L63" s="12"/>
      <c r="M63" s="200"/>
      <c r="N63" s="201"/>
      <c r="O63" s="201"/>
      <c r="P63" s="201"/>
      <c r="Q63" s="201"/>
      <c r="R63" s="201"/>
      <c r="S63" s="201"/>
      <c r="T63" s="202"/>
      <c r="U63" s="77"/>
      <c r="V63" s="77"/>
      <c r="W63" s="195" t="s">
        <v>700</v>
      </c>
      <c r="X63" s="196"/>
      <c r="Y63" s="32">
        <v>0</v>
      </c>
      <c r="Z63" s="12"/>
      <c r="AA63" s="77"/>
      <c r="AB63" s="77"/>
    </row>
    <row r="64" spans="1:39" ht="17.25" customHeight="1" thickBot="1" x14ac:dyDescent="0.3">
      <c r="B64" s="253" t="s">
        <v>71</v>
      </c>
      <c r="C64" s="253"/>
      <c r="D64" s="254" t="s">
        <v>719</v>
      </c>
      <c r="E64" s="77"/>
      <c r="F64" s="43" t="s">
        <v>69</v>
      </c>
      <c r="G64" s="9"/>
      <c r="H64" s="12"/>
      <c r="I64" s="151" t="s">
        <v>13</v>
      </c>
      <c r="J64" s="152"/>
      <c r="K64" s="9"/>
      <c r="L64" s="12"/>
      <c r="M64" s="200"/>
      <c r="N64" s="201"/>
      <c r="O64" s="201"/>
      <c r="P64" s="201"/>
      <c r="Q64" s="201"/>
      <c r="R64" s="201"/>
      <c r="S64" s="201"/>
      <c r="T64" s="202"/>
      <c r="U64" s="77"/>
      <c r="V64" s="77"/>
      <c r="W64" s="214"/>
      <c r="X64" s="215"/>
      <c r="Y64" s="32">
        <v>0</v>
      </c>
      <c r="Z64" s="12"/>
      <c r="AA64" s="77"/>
      <c r="AB64" s="77"/>
    </row>
    <row r="65" spans="2:28" ht="16.5" customHeight="1" x14ac:dyDescent="0.25">
      <c r="B65" s="253"/>
      <c r="C65" s="253"/>
      <c r="D65" s="254"/>
      <c r="E65" s="77"/>
      <c r="F65" s="43" t="s">
        <v>51</v>
      </c>
      <c r="G65" s="9"/>
      <c r="H65" s="71"/>
      <c r="I65" s="151" t="s">
        <v>52</v>
      </c>
      <c r="J65" s="152"/>
      <c r="K65" s="9"/>
      <c r="L65" s="12"/>
      <c r="M65" s="200"/>
      <c r="N65" s="201"/>
      <c r="O65" s="201"/>
      <c r="P65" s="201"/>
      <c r="Q65" s="201"/>
      <c r="R65" s="201"/>
      <c r="S65" s="201"/>
      <c r="T65" s="202"/>
      <c r="U65" s="77"/>
      <c r="V65" s="77"/>
      <c r="W65" s="195"/>
      <c r="X65" s="196"/>
      <c r="Y65" s="32">
        <v>0</v>
      </c>
      <c r="Z65" s="15"/>
      <c r="AA65" s="210" t="s">
        <v>75</v>
      </c>
      <c r="AB65" s="211"/>
    </row>
    <row r="66" spans="2:28" ht="16.5" customHeight="1" x14ac:dyDescent="0.25">
      <c r="B66" s="253"/>
      <c r="C66" s="253"/>
      <c r="D66" s="254"/>
      <c r="E66" s="77"/>
      <c r="F66" s="43" t="s">
        <v>81</v>
      </c>
      <c r="G66" s="9"/>
      <c r="H66" s="65"/>
      <c r="I66" s="12"/>
      <c r="J66" s="12"/>
      <c r="K66" s="12"/>
      <c r="L66" s="12"/>
      <c r="M66" s="200"/>
      <c r="N66" s="201"/>
      <c r="O66" s="201"/>
      <c r="P66" s="201"/>
      <c r="Q66" s="201"/>
      <c r="R66" s="201"/>
      <c r="S66" s="201"/>
      <c r="T66" s="202"/>
      <c r="U66" s="77"/>
      <c r="V66" s="77"/>
      <c r="W66" s="195"/>
      <c r="X66" s="196"/>
      <c r="Y66" s="32">
        <v>0</v>
      </c>
      <c r="Z66" s="12"/>
      <c r="AA66" s="96" t="s">
        <v>3</v>
      </c>
      <c r="AB66" s="27">
        <f>M22</f>
        <v>281.82117768096845</v>
      </c>
    </row>
    <row r="67" spans="2:28" ht="17.25" customHeight="1" x14ac:dyDescent="0.25">
      <c r="B67" s="255" t="s">
        <v>62</v>
      </c>
      <c r="C67" s="256"/>
      <c r="D67" s="259" t="s">
        <v>175</v>
      </c>
      <c r="E67" s="77"/>
      <c r="F67" s="77"/>
      <c r="G67" s="77"/>
      <c r="H67" s="65"/>
      <c r="I67" s="137" t="s">
        <v>74</v>
      </c>
      <c r="J67" s="137"/>
      <c r="K67" s="137"/>
      <c r="L67" s="10"/>
      <c r="M67" s="200"/>
      <c r="N67" s="201"/>
      <c r="O67" s="201"/>
      <c r="P67" s="201"/>
      <c r="Q67" s="201"/>
      <c r="R67" s="201"/>
      <c r="S67" s="201"/>
      <c r="T67" s="202"/>
      <c r="U67" s="77"/>
      <c r="V67" s="77"/>
      <c r="W67" s="195"/>
      <c r="X67" s="196"/>
      <c r="Y67" s="32">
        <v>0</v>
      </c>
      <c r="Z67" s="12"/>
      <c r="AA67" s="96" t="s">
        <v>87</v>
      </c>
      <c r="AB67" s="27">
        <f>M29</f>
        <v>0</v>
      </c>
    </row>
    <row r="68" spans="2:28" ht="17.25" customHeight="1" x14ac:dyDescent="0.25">
      <c r="B68" s="257"/>
      <c r="C68" s="258"/>
      <c r="D68" s="260"/>
      <c r="E68" s="77"/>
      <c r="F68" s="77"/>
      <c r="G68" s="77"/>
      <c r="H68" s="11"/>
      <c r="I68" s="151" t="s">
        <v>80</v>
      </c>
      <c r="J68" s="152"/>
      <c r="K68" s="9"/>
      <c r="L68" s="12"/>
      <c r="M68" s="200"/>
      <c r="N68" s="201"/>
      <c r="O68" s="201"/>
      <c r="P68" s="201"/>
      <c r="Q68" s="201"/>
      <c r="R68" s="201"/>
      <c r="S68" s="201"/>
      <c r="T68" s="202"/>
      <c r="U68" s="77"/>
      <c r="V68" s="77"/>
      <c r="W68" s="195"/>
      <c r="X68" s="196"/>
      <c r="Y68" s="32">
        <v>0</v>
      </c>
      <c r="Z68" s="22"/>
      <c r="AA68" s="96" t="s">
        <v>44</v>
      </c>
      <c r="AB68" s="27">
        <f>W55</f>
        <v>150.31440000000001</v>
      </c>
    </row>
    <row r="69" spans="2:28" x14ac:dyDescent="0.25">
      <c r="B69" s="144" t="s">
        <v>464</v>
      </c>
      <c r="C69" s="213"/>
      <c r="D69" s="145"/>
      <c r="E69" s="77"/>
      <c r="F69" s="144" t="s">
        <v>178</v>
      </c>
      <c r="G69" s="145"/>
      <c r="H69" s="11"/>
      <c r="I69" s="151" t="s">
        <v>51</v>
      </c>
      <c r="J69" s="152"/>
      <c r="K69" s="9"/>
      <c r="L69" s="12"/>
      <c r="M69" s="200"/>
      <c r="N69" s="201"/>
      <c r="O69" s="201"/>
      <c r="P69" s="201"/>
      <c r="Q69" s="201"/>
      <c r="R69" s="201"/>
      <c r="S69" s="201"/>
      <c r="T69" s="202"/>
      <c r="U69" s="77"/>
      <c r="V69" s="77"/>
      <c r="W69" s="195"/>
      <c r="X69" s="196"/>
      <c r="Y69" s="32">
        <v>0</v>
      </c>
      <c r="Z69" s="77"/>
      <c r="AA69" s="96" t="s">
        <v>76</v>
      </c>
      <c r="AB69" s="27">
        <f>AB55</f>
        <v>23.75</v>
      </c>
    </row>
    <row r="70" spans="2:28" x14ac:dyDescent="0.25">
      <c r="B70" s="151" t="s">
        <v>35</v>
      </c>
      <c r="C70" s="152"/>
      <c r="D70" s="107">
        <v>1</v>
      </c>
      <c r="E70" s="12"/>
      <c r="F70" s="43" t="s">
        <v>180</v>
      </c>
      <c r="G70" s="9"/>
      <c r="H70" s="65"/>
      <c r="I70" s="151" t="s">
        <v>69</v>
      </c>
      <c r="J70" s="152"/>
      <c r="K70" s="9"/>
      <c r="L70" s="12"/>
      <c r="M70" s="200"/>
      <c r="N70" s="201"/>
      <c r="O70" s="201"/>
      <c r="P70" s="201"/>
      <c r="Q70" s="201"/>
      <c r="R70" s="201"/>
      <c r="S70" s="201"/>
      <c r="T70" s="202"/>
      <c r="U70" s="77"/>
      <c r="V70" s="77"/>
      <c r="W70" s="195"/>
      <c r="X70" s="196"/>
      <c r="Y70" s="32">
        <v>0</v>
      </c>
      <c r="Z70" s="12"/>
      <c r="AA70" s="96" t="s">
        <v>15</v>
      </c>
      <c r="AB70" s="27">
        <f>Y71+AB62</f>
        <v>8.5</v>
      </c>
    </row>
    <row r="71" spans="2:28" ht="17.25" customHeight="1" thickBot="1" x14ac:dyDescent="0.3">
      <c r="B71" s="151" t="s">
        <v>36</v>
      </c>
      <c r="C71" s="152"/>
      <c r="D71" s="107">
        <v>1</v>
      </c>
      <c r="E71" s="77"/>
      <c r="F71" s="43" t="s">
        <v>179</v>
      </c>
      <c r="G71" s="9"/>
      <c r="H71" s="65"/>
      <c r="I71" s="151" t="s">
        <v>81</v>
      </c>
      <c r="J71" s="152"/>
      <c r="K71" s="9"/>
      <c r="L71" s="77"/>
      <c r="M71" s="203"/>
      <c r="N71" s="204"/>
      <c r="O71" s="204"/>
      <c r="P71" s="204"/>
      <c r="Q71" s="204"/>
      <c r="R71" s="204"/>
      <c r="S71" s="204"/>
      <c r="T71" s="205"/>
      <c r="U71" s="77"/>
      <c r="V71" s="77"/>
      <c r="W71" s="207" t="s">
        <v>98</v>
      </c>
      <c r="X71" s="208"/>
      <c r="Y71" s="31">
        <f>SUM(Y61:Y70)</f>
        <v>8.5</v>
      </c>
      <c r="Z71" s="77"/>
      <c r="AA71" s="94" t="s">
        <v>78</v>
      </c>
      <c r="AB71" s="31">
        <f>SUM(AB66:AB70)</f>
        <v>464.38557768096848</v>
      </c>
    </row>
    <row r="72" spans="2:28" ht="15.75" customHeight="1" thickTop="1" x14ac:dyDescent="0.25">
      <c r="B72" s="144" t="s">
        <v>65</v>
      </c>
      <c r="C72" s="213"/>
      <c r="D72" s="145"/>
      <c r="E72" s="77"/>
      <c r="F72" s="43" t="s">
        <v>181</v>
      </c>
      <c r="G72" s="9"/>
      <c r="H72" s="77"/>
      <c r="I72" s="77"/>
      <c r="J72" s="77"/>
      <c r="K72" s="77"/>
      <c r="L72" s="77"/>
      <c r="M72" s="29"/>
      <c r="N72" s="29"/>
      <c r="O72" s="29"/>
      <c r="P72" s="29"/>
      <c r="Q72" s="29"/>
      <c r="R72" s="29"/>
      <c r="S72" s="29"/>
      <c r="T72" s="29"/>
      <c r="U72" s="77"/>
      <c r="V72" s="77"/>
      <c r="W72" s="77"/>
      <c r="X72" s="77"/>
      <c r="Y72" s="77"/>
      <c r="Z72" s="77"/>
      <c r="AA72" s="77"/>
      <c r="AB72" s="77"/>
    </row>
    <row r="73" spans="2:28" ht="16.5" customHeight="1" x14ac:dyDescent="0.25">
      <c r="B73" s="255" t="s">
        <v>66</v>
      </c>
      <c r="C73" s="256"/>
      <c r="D73" s="259" t="s">
        <v>154</v>
      </c>
      <c r="E73" s="77"/>
      <c r="F73" s="43" t="s">
        <v>182</v>
      </c>
      <c r="G73" s="9"/>
      <c r="H73" s="77"/>
      <c r="I73" s="184" t="s">
        <v>702</v>
      </c>
      <c r="J73" s="184"/>
      <c r="K73" s="184"/>
      <c r="L73" s="184"/>
      <c r="M73" s="184"/>
      <c r="N73" s="184"/>
      <c r="O73" s="184"/>
      <c r="P73" s="65"/>
      <c r="Q73" s="269" t="s">
        <v>480</v>
      </c>
      <c r="R73" s="269"/>
      <c r="S73" s="29"/>
      <c r="T73" s="29"/>
      <c r="U73" s="29"/>
      <c r="V73" s="29"/>
      <c r="W73" s="132" t="s">
        <v>485</v>
      </c>
      <c r="X73" s="132"/>
      <c r="Y73" s="132"/>
      <c r="Z73" s="77"/>
      <c r="AA73" s="77"/>
      <c r="AB73" s="77"/>
    </row>
    <row r="74" spans="2:28" ht="17.25" customHeight="1" x14ac:dyDescent="0.25">
      <c r="B74" s="257"/>
      <c r="C74" s="258"/>
      <c r="D74" s="260"/>
      <c r="E74" s="77"/>
      <c r="F74" s="43" t="s">
        <v>53</v>
      </c>
      <c r="G74" s="9"/>
      <c r="H74" s="77"/>
      <c r="I74" s="253" t="s">
        <v>51</v>
      </c>
      <c r="J74" s="253"/>
      <c r="K74" s="97"/>
      <c r="L74" s="252" t="s">
        <v>55</v>
      </c>
      <c r="M74" s="252"/>
      <c r="N74" s="268"/>
      <c r="O74" s="268"/>
      <c r="P74" s="77"/>
      <c r="Q74" s="269"/>
      <c r="R74" s="269"/>
      <c r="S74" s="29"/>
      <c r="T74" s="29"/>
      <c r="U74" s="29"/>
      <c r="V74" s="29"/>
      <c r="W74" s="133" t="s">
        <v>487</v>
      </c>
      <c r="X74" s="134"/>
      <c r="Y74" s="98"/>
      <c r="Z74" s="77"/>
      <c r="AA74" s="77"/>
      <c r="AB74" s="77"/>
    </row>
    <row r="75" spans="2:28" ht="17.25" customHeight="1" x14ac:dyDescent="0.25">
      <c r="B75" s="255" t="s">
        <v>67</v>
      </c>
      <c r="C75" s="256"/>
      <c r="D75" s="259" t="s">
        <v>448</v>
      </c>
      <c r="E75" s="77"/>
      <c r="F75" s="43" t="s">
        <v>77</v>
      </c>
      <c r="G75" s="9"/>
      <c r="H75" s="77"/>
      <c r="I75" s="253" t="s">
        <v>52</v>
      </c>
      <c r="J75" s="253"/>
      <c r="K75" s="97"/>
      <c r="L75" s="253" t="s">
        <v>53</v>
      </c>
      <c r="M75" s="253"/>
      <c r="N75" s="268"/>
      <c r="O75" s="268"/>
      <c r="P75" s="77"/>
      <c r="Q75" s="270" t="s">
        <v>528</v>
      </c>
      <c r="R75" s="270"/>
      <c r="S75" s="29"/>
      <c r="T75" s="29"/>
      <c r="U75" s="29"/>
      <c r="V75" s="29"/>
      <c r="W75" s="133" t="s">
        <v>488</v>
      </c>
      <c r="X75" s="134"/>
      <c r="Y75" s="98"/>
      <c r="Z75" s="77"/>
      <c r="AA75" s="77"/>
      <c r="AB75" s="77"/>
    </row>
    <row r="76" spans="2:28" ht="17.25" customHeight="1" x14ac:dyDescent="0.25">
      <c r="B76" s="257"/>
      <c r="C76" s="258"/>
      <c r="D76" s="260"/>
      <c r="E76" s="77"/>
      <c r="F76" s="43" t="s">
        <v>81</v>
      </c>
      <c r="G76" s="9"/>
      <c r="H76" s="77"/>
      <c r="I76" s="252" t="s">
        <v>54</v>
      </c>
      <c r="J76" s="252"/>
      <c r="K76" s="97"/>
      <c r="L76" s="253" t="s">
        <v>77</v>
      </c>
      <c r="M76" s="253"/>
      <c r="N76" s="268"/>
      <c r="O76" s="268"/>
      <c r="P76" s="77"/>
      <c r="Q76" s="270"/>
      <c r="R76" s="270"/>
      <c r="S76" s="29"/>
      <c r="T76" s="29"/>
      <c r="U76" s="77"/>
      <c r="V76" s="77"/>
      <c r="W76" s="135" t="s">
        <v>486</v>
      </c>
      <c r="X76" s="136"/>
      <c r="Y76" s="98"/>
      <c r="Z76" s="77"/>
      <c r="AA76" s="77"/>
      <c r="AB76" s="77"/>
    </row>
  </sheetData>
  <protectedRanges>
    <protectedRange sqref="T7:AB29" name="Range10"/>
    <protectedRange sqref="D70:D71 D73:D76 G62:G66 G70:G76 K62:K65 K68:K71 K74:K76 N74:O76 M61:T71" name="Range8"/>
    <protectedRange sqref="E24:F24 C26:L28 Q25:R25 Q28:R28" name="Range4"/>
    <protectedRange sqref="D13:D15 G13:G14 Q21" name="Range2"/>
    <protectedRange sqref="D7:I7 M9:R11 T7:AB29" name="Range1"/>
    <protectedRange sqref="C19:J21 I18:J18" name="Range3"/>
    <protectedRange sqref="B34:V35 X34:AA35 M33 V33 X33:Z33" name="Range5"/>
    <protectedRange sqref="W63:Y70 W61:X62" name="Range9"/>
    <protectedRange sqref="I15:M15" name="Range2_1"/>
    <protectedRange sqref="B47:L48 I42:L46" name="Range6_6"/>
    <protectedRange sqref="N46:U48 N42:R45" name="Range6_7"/>
    <protectedRange sqref="X39:Z48" name="Range6_8"/>
    <protectedRange sqref="AA39:AA47" name="Range6_9"/>
    <protectedRange sqref="AA48" name="Range6_10"/>
    <protectedRange sqref="K57:L57" name="Range7_1"/>
    <protectedRange sqref="Y61:Y62" name="Range9_1"/>
    <protectedRange sqref="D9:I11" name="Range1_2"/>
    <protectedRange sqref="C18:H18" name="Range3_1"/>
    <protectedRange sqref="B33:L33" name="Range5_4"/>
    <protectedRange sqref="N33:R33" name="Range5_5"/>
    <protectedRange sqref="S33:U33" name="Range5_6"/>
    <protectedRange sqref="B39:L39 I40:L41 B40:H46" name="Range6_2"/>
    <protectedRange sqref="N39:U39 N40:R41 S40:U45" name="Range6_3"/>
    <protectedRange sqref="D62:D68" name="Range8_3"/>
  </protectedRanges>
  <mergeCells count="343">
    <mergeCell ref="K46:L46"/>
    <mergeCell ref="K47:L47"/>
    <mergeCell ref="N46:O46"/>
    <mergeCell ref="N47:O47"/>
    <mergeCell ref="P46:Q46"/>
    <mergeCell ref="P47:Q47"/>
    <mergeCell ref="S46:U46"/>
    <mergeCell ref="S47:U47"/>
    <mergeCell ref="X46:Z46"/>
    <mergeCell ref="X47:Z47"/>
    <mergeCell ref="N76:O76"/>
    <mergeCell ref="Q73:R74"/>
    <mergeCell ref="Q75:R76"/>
    <mergeCell ref="C20:D20"/>
    <mergeCell ref="E20:F20"/>
    <mergeCell ref="G20:H20"/>
    <mergeCell ref="K20:L20"/>
    <mergeCell ref="P20:Q20"/>
    <mergeCell ref="T7:AB29"/>
    <mergeCell ref="I73:O73"/>
    <mergeCell ref="N74:O74"/>
    <mergeCell ref="N75:O75"/>
    <mergeCell ref="L15:M15"/>
    <mergeCell ref="I14:J14"/>
    <mergeCell ref="I15:J15"/>
    <mergeCell ref="K18:L18"/>
    <mergeCell ref="K19:L19"/>
    <mergeCell ref="K21:L21"/>
    <mergeCell ref="K25:L25"/>
    <mergeCell ref="K26:L26"/>
    <mergeCell ref="K27:L27"/>
    <mergeCell ref="K28:L28"/>
    <mergeCell ref="G24:Q24"/>
    <mergeCell ref="L74:M74"/>
    <mergeCell ref="L75:M75"/>
    <mergeCell ref="L76:M76"/>
    <mergeCell ref="C31:H31"/>
    <mergeCell ref="C37:H37"/>
    <mergeCell ref="B72:D72"/>
    <mergeCell ref="B70:C70"/>
    <mergeCell ref="B71:C71"/>
    <mergeCell ref="I44:J44"/>
    <mergeCell ref="G45:H45"/>
    <mergeCell ref="I45:J45"/>
    <mergeCell ref="G53:H53"/>
    <mergeCell ref="I53:J53"/>
    <mergeCell ref="C32:D32"/>
    <mergeCell ref="C33:D33"/>
    <mergeCell ref="C35:D35"/>
    <mergeCell ref="E32:F32"/>
    <mergeCell ref="E33:F33"/>
    <mergeCell ref="E35:F35"/>
    <mergeCell ref="K32:L32"/>
    <mergeCell ref="K33:L33"/>
    <mergeCell ref="K35:L35"/>
    <mergeCell ref="B61:D61"/>
    <mergeCell ref="I74:J74"/>
    <mergeCell ref="I75:J75"/>
    <mergeCell ref="I76:J76"/>
    <mergeCell ref="B64:C66"/>
    <mergeCell ref="D64:D66"/>
    <mergeCell ref="B67:C68"/>
    <mergeCell ref="D67:D68"/>
    <mergeCell ref="B73:C74"/>
    <mergeCell ref="D73:D74"/>
    <mergeCell ref="B75:C76"/>
    <mergeCell ref="D75:D76"/>
    <mergeCell ref="I67:K67"/>
    <mergeCell ref="I64:J64"/>
    <mergeCell ref="I68:J68"/>
    <mergeCell ref="I69:J69"/>
    <mergeCell ref="I70:J70"/>
    <mergeCell ref="I71:J71"/>
    <mergeCell ref="B69:D69"/>
    <mergeCell ref="F69:G69"/>
    <mergeCell ref="M7:R7"/>
    <mergeCell ref="M9:R9"/>
    <mergeCell ref="M10:R10"/>
    <mergeCell ref="M11:R11"/>
    <mergeCell ref="M59:T59"/>
    <mergeCell ref="P45:Q45"/>
    <mergeCell ref="P53:Q53"/>
    <mergeCell ref="P13:R13"/>
    <mergeCell ref="P14:Q14"/>
    <mergeCell ref="P15:Q15"/>
    <mergeCell ref="P18:Q18"/>
    <mergeCell ref="P19:Q19"/>
    <mergeCell ref="S33:U33"/>
    <mergeCell ref="S35:U35"/>
    <mergeCell ref="S32:U32"/>
    <mergeCell ref="S38:U38"/>
    <mergeCell ref="S39:U39"/>
    <mergeCell ref="S40:U40"/>
    <mergeCell ref="S41:U41"/>
    <mergeCell ref="S42:U42"/>
    <mergeCell ref="S43:U43"/>
    <mergeCell ref="S44:U44"/>
    <mergeCell ref="S45:U45"/>
    <mergeCell ref="Q25:R25"/>
    <mergeCell ref="Q26:R26"/>
    <mergeCell ref="O26:P26"/>
    <mergeCell ref="P37:R37"/>
    <mergeCell ref="P31:R31"/>
    <mergeCell ref="O27:P28"/>
    <mergeCell ref="R16:R17"/>
    <mergeCell ref="X45:Z45"/>
    <mergeCell ref="P16:Q17"/>
    <mergeCell ref="P32:Q32"/>
    <mergeCell ref="P33:Q33"/>
    <mergeCell ref="P35:Q35"/>
    <mergeCell ref="P38:Q38"/>
    <mergeCell ref="P39:Q39"/>
    <mergeCell ref="P40:Q40"/>
    <mergeCell ref="P41:Q41"/>
    <mergeCell ref="P42:Q42"/>
    <mergeCell ref="P43:Q43"/>
    <mergeCell ref="X32:Z32"/>
    <mergeCell ref="X33:Z33"/>
    <mergeCell ref="X35:Z35"/>
    <mergeCell ref="N32:O32"/>
    <mergeCell ref="N38:O38"/>
    <mergeCell ref="S34:U34"/>
    <mergeCell ref="AA65:AB65"/>
    <mergeCell ref="X38:Z38"/>
    <mergeCell ref="X39:Z39"/>
    <mergeCell ref="X40:Z40"/>
    <mergeCell ref="X41:Z41"/>
    <mergeCell ref="X42:Z42"/>
    <mergeCell ref="X43:Z43"/>
    <mergeCell ref="X44:Z44"/>
    <mergeCell ref="W64:X64"/>
    <mergeCell ref="W65:X65"/>
    <mergeCell ref="Y55:AA55"/>
    <mergeCell ref="X53:Z53"/>
    <mergeCell ref="AA59:AB59"/>
    <mergeCell ref="W59:X59"/>
    <mergeCell ref="W61:X61"/>
    <mergeCell ref="W62:X62"/>
    <mergeCell ref="W63:X63"/>
    <mergeCell ref="X51:Z51"/>
    <mergeCell ref="W66:X66"/>
    <mergeCell ref="W67:X67"/>
    <mergeCell ref="W68:X68"/>
    <mergeCell ref="W70:X70"/>
    <mergeCell ref="W69:X69"/>
    <mergeCell ref="N33:O33"/>
    <mergeCell ref="N35:O35"/>
    <mergeCell ref="N39:O39"/>
    <mergeCell ref="N40:O40"/>
    <mergeCell ref="N53:O53"/>
    <mergeCell ref="M61:T71"/>
    <mergeCell ref="N43:O43"/>
    <mergeCell ref="N44:O44"/>
    <mergeCell ref="P60:R60"/>
    <mergeCell ref="N42:O42"/>
    <mergeCell ref="S53:U53"/>
    <mergeCell ref="P44:Q44"/>
    <mergeCell ref="N45:O45"/>
    <mergeCell ref="W71:X71"/>
    <mergeCell ref="P48:Q48"/>
    <mergeCell ref="P49:Q49"/>
    <mergeCell ref="P52:Q52"/>
    <mergeCell ref="S48:U48"/>
    <mergeCell ref="S49:U49"/>
    <mergeCell ref="C39:D39"/>
    <mergeCell ref="C40:D40"/>
    <mergeCell ref="O25:P25"/>
    <mergeCell ref="K29:L29"/>
    <mergeCell ref="G32:H32"/>
    <mergeCell ref="G33:H33"/>
    <mergeCell ref="G35:H35"/>
    <mergeCell ref="I32:J32"/>
    <mergeCell ref="I33:J33"/>
    <mergeCell ref="I35:J35"/>
    <mergeCell ref="G38:H38"/>
    <mergeCell ref="I38:J38"/>
    <mergeCell ref="G39:H39"/>
    <mergeCell ref="I39:J39"/>
    <mergeCell ref="G40:H40"/>
    <mergeCell ref="I40:J40"/>
    <mergeCell ref="E25:F25"/>
    <mergeCell ref="E26:F26"/>
    <mergeCell ref="E27:F27"/>
    <mergeCell ref="E28:F28"/>
    <mergeCell ref="I13:M13"/>
    <mergeCell ref="L14:M14"/>
    <mergeCell ref="E29:F29"/>
    <mergeCell ref="G29:H29"/>
    <mergeCell ref="C25:D25"/>
    <mergeCell ref="C38:D38"/>
    <mergeCell ref="E38:F38"/>
    <mergeCell ref="G27:H27"/>
    <mergeCell ref="G28:H28"/>
    <mergeCell ref="B24:D24"/>
    <mergeCell ref="C34:D34"/>
    <mergeCell ref="G25:H25"/>
    <mergeCell ref="G26:H26"/>
    <mergeCell ref="C17:D17"/>
    <mergeCell ref="C19:D19"/>
    <mergeCell ref="C21:D21"/>
    <mergeCell ref="G18:H18"/>
    <mergeCell ref="G19:H19"/>
    <mergeCell ref="G21:H21"/>
    <mergeCell ref="G17:H17"/>
    <mergeCell ref="C26:D26"/>
    <mergeCell ref="C27:D27"/>
    <mergeCell ref="C28:D28"/>
    <mergeCell ref="E24:F24"/>
    <mergeCell ref="C41:D41"/>
    <mergeCell ref="B59:K59"/>
    <mergeCell ref="E44:F44"/>
    <mergeCell ref="K53:L53"/>
    <mergeCell ref="K39:L39"/>
    <mergeCell ref="K40:L40"/>
    <mergeCell ref="K41:L41"/>
    <mergeCell ref="K42:L42"/>
    <mergeCell ref="E39:F39"/>
    <mergeCell ref="E40:F40"/>
    <mergeCell ref="E41:F41"/>
    <mergeCell ref="E42:F42"/>
    <mergeCell ref="G41:H41"/>
    <mergeCell ref="C45:D45"/>
    <mergeCell ref="C53:D53"/>
    <mergeCell ref="E45:F45"/>
    <mergeCell ref="E53:F53"/>
    <mergeCell ref="K45:L45"/>
    <mergeCell ref="G57:J57"/>
    <mergeCell ref="C57:D57"/>
    <mergeCell ref="I56:J56"/>
    <mergeCell ref="I55:J55"/>
    <mergeCell ref="G43:H43"/>
    <mergeCell ref="I43:J43"/>
    <mergeCell ref="B5:AB5"/>
    <mergeCell ref="B1:AB4"/>
    <mergeCell ref="I25:J25"/>
    <mergeCell ref="I26:J26"/>
    <mergeCell ref="I27:J27"/>
    <mergeCell ref="I28:J28"/>
    <mergeCell ref="X34:Z34"/>
    <mergeCell ref="K34:L34"/>
    <mergeCell ref="N34:O34"/>
    <mergeCell ref="P34:Q34"/>
    <mergeCell ref="I34:J34"/>
    <mergeCell ref="G34:H34"/>
    <mergeCell ref="D7:I7"/>
    <mergeCell ref="D10:I10"/>
    <mergeCell ref="E18:F18"/>
    <mergeCell ref="E19:F19"/>
    <mergeCell ref="F16:I16"/>
    <mergeCell ref="D9:I9"/>
    <mergeCell ref="D11:I11"/>
    <mergeCell ref="C18:D18"/>
    <mergeCell ref="E22:F22"/>
    <mergeCell ref="C22:D22"/>
    <mergeCell ref="G22:H22"/>
    <mergeCell ref="K22:L22"/>
    <mergeCell ref="F61:G61"/>
    <mergeCell ref="I61:K61"/>
    <mergeCell ref="I62:J62"/>
    <mergeCell ref="I63:J63"/>
    <mergeCell ref="I65:J65"/>
    <mergeCell ref="B62:C62"/>
    <mergeCell ref="B63:C63"/>
    <mergeCell ref="C42:D42"/>
    <mergeCell ref="K57:L57"/>
    <mergeCell ref="I42:J42"/>
    <mergeCell ref="C43:D43"/>
    <mergeCell ref="C44:D44"/>
    <mergeCell ref="C55:D55"/>
    <mergeCell ref="K43:L43"/>
    <mergeCell ref="E43:F43"/>
    <mergeCell ref="G44:H44"/>
    <mergeCell ref="C46:D46"/>
    <mergeCell ref="C47:D47"/>
    <mergeCell ref="E46:F46"/>
    <mergeCell ref="E47:F47"/>
    <mergeCell ref="G46:H46"/>
    <mergeCell ref="G47:H47"/>
    <mergeCell ref="I46:J46"/>
    <mergeCell ref="I47:J47"/>
    <mergeCell ref="W73:Y73"/>
    <mergeCell ref="W74:X74"/>
    <mergeCell ref="W75:X75"/>
    <mergeCell ref="W76:X76"/>
    <mergeCell ref="E21:F21"/>
    <mergeCell ref="E17:F17"/>
    <mergeCell ref="K38:L38"/>
    <mergeCell ref="E55:F55"/>
    <mergeCell ref="K44:L44"/>
    <mergeCell ref="K55:L55"/>
    <mergeCell ref="G55:H55"/>
    <mergeCell ref="K56:L56"/>
    <mergeCell ref="N41:O41"/>
    <mergeCell ref="I17:J17"/>
    <mergeCell ref="I18:J18"/>
    <mergeCell ref="I19:J19"/>
    <mergeCell ref="I20:J20"/>
    <mergeCell ref="I21:J21"/>
    <mergeCell ref="I22:J22"/>
    <mergeCell ref="I41:J41"/>
    <mergeCell ref="G42:H42"/>
    <mergeCell ref="I29:J29"/>
    <mergeCell ref="E34:F34"/>
    <mergeCell ref="K17:L17"/>
    <mergeCell ref="C48:D48"/>
    <mergeCell ref="C49:D49"/>
    <mergeCell ref="C52:D52"/>
    <mergeCell ref="E48:F48"/>
    <mergeCell ref="E49:F49"/>
    <mergeCell ref="E52:F52"/>
    <mergeCell ref="G48:H48"/>
    <mergeCell ref="G49:H49"/>
    <mergeCell ref="G52:H52"/>
    <mergeCell ref="C50:D50"/>
    <mergeCell ref="C51:D51"/>
    <mergeCell ref="E50:F50"/>
    <mergeCell ref="E51:F51"/>
    <mergeCell ref="G50:H50"/>
    <mergeCell ref="G51:H51"/>
    <mergeCell ref="S52:U52"/>
    <mergeCell ref="X48:Z48"/>
    <mergeCell ref="X49:Z49"/>
    <mergeCell ref="X52:Z52"/>
    <mergeCell ref="I48:J48"/>
    <mergeCell ref="I49:J49"/>
    <mergeCell ref="I52:J52"/>
    <mergeCell ref="K48:L48"/>
    <mergeCell ref="K49:L49"/>
    <mergeCell ref="K52:L52"/>
    <mergeCell ref="N48:O48"/>
    <mergeCell ref="N49:O49"/>
    <mergeCell ref="N52:O52"/>
    <mergeCell ref="S50:U50"/>
    <mergeCell ref="S51:U51"/>
    <mergeCell ref="I50:J50"/>
    <mergeCell ref="I51:J51"/>
    <mergeCell ref="K50:L50"/>
    <mergeCell ref="K51:L51"/>
    <mergeCell ref="N50:O50"/>
    <mergeCell ref="N51:O51"/>
    <mergeCell ref="P50:Q50"/>
    <mergeCell ref="P51:Q51"/>
    <mergeCell ref="X50:Z50"/>
  </mergeCells>
  <conditionalFormatting sqref="B62:C68 B70:C71 B73:C76">
    <cfRule type="expression" dxfId="391" priority="1181">
      <formula>AND($C$57&lt;&gt;"Ring",$C$57&lt;&gt;"")</formula>
    </cfRule>
  </conditionalFormatting>
  <conditionalFormatting sqref="B31:H31 P31 B32:N32 P32:AB32 B37 P37 B38:N38 P38:AB38">
    <cfRule type="expression" dxfId="390" priority="960">
      <formula>OR($B$33="DIAMOND (LAB)", $B$34="DIAMOND (LAB)", $B$35="DIAMOND (LAB)", $B$39="DIAMOND (LAB)",$B$40="DIAMOND (LAB)", $B$41="DIAMOND (LAB)", $B$42="DIAMOND (LAB)", $B$43="DIAMOND (LAB)", $B$44="DIAMOND (LAB)", $B$45="DIAMOND (LAB)", $B$46="DIAMOND (LAB)", $B$47="DIAMOND (LAB)", $B$48="DIAMOND (LAB)", $B$49="DIAMOND (LAB)", $B$50="DIAMOND (LAB)", $B$51="DIAMOND (LAB)", $B$52="DIAMOND (LAB)", $B$53="DIAMOND (LAB)")</formula>
    </cfRule>
  </conditionalFormatting>
  <conditionalFormatting sqref="C18:D21">
    <cfRule type="expression" dxfId="389" priority="65">
      <formula>OR($M$26="ERROR",$M$27="ERROR",$M$28="ERROR")</formula>
    </cfRule>
  </conditionalFormatting>
  <conditionalFormatting sqref="C26:D26">
    <cfRule type="expression" dxfId="388" priority="804">
      <formula>$M$26="ERROR"</formula>
    </cfRule>
    <cfRule type="expression" dxfId="387" priority="796">
      <formula>AND($E$24&lt;&gt;"",ISBLANK($C$26))</formula>
    </cfRule>
  </conditionalFormatting>
  <conditionalFormatting sqref="C27:D27">
    <cfRule type="expression" dxfId="386" priority="801">
      <formula>$M$27="ERROR"</formula>
    </cfRule>
  </conditionalFormatting>
  <conditionalFormatting sqref="C28:D28">
    <cfRule type="expression" dxfId="385" priority="798">
      <formula>$M$28="ERROR"</formula>
    </cfRule>
  </conditionalFormatting>
  <conditionalFormatting sqref="C33:D33">
    <cfRule type="expression" dxfId="384" priority="62">
      <formula>AND($B$33&lt;&gt;"",ISBLANK($C$33))</formula>
    </cfRule>
  </conditionalFormatting>
  <conditionalFormatting sqref="C34:D34">
    <cfRule type="expression" dxfId="383" priority="940">
      <formula>AND($B$34&lt;&gt;"",ISBLANK($C$34))</formula>
    </cfRule>
  </conditionalFormatting>
  <conditionalFormatting sqref="C35:D35">
    <cfRule type="expression" dxfId="382" priority="926">
      <formula>AND($B$35&lt;&gt;"",ISBLANK($C$35))</formula>
    </cfRule>
  </conditionalFormatting>
  <conditionalFormatting sqref="C39:D46">
    <cfRule type="expression" dxfId="381" priority="43">
      <formula>AND($B$40&lt;&gt;"",ISBLANK($C$40))</formula>
    </cfRule>
    <cfRule type="expression" dxfId="380" priority="48">
      <formula>AND($B$39&lt;&gt;"",ISBLANK($C$39))</formula>
    </cfRule>
  </conditionalFormatting>
  <conditionalFormatting sqref="C47:D47">
    <cfRule type="expression" dxfId="379" priority="305">
      <formula>AND($B$47&lt;&gt;"",ISBLANK($C$47))</formula>
    </cfRule>
  </conditionalFormatting>
  <conditionalFormatting sqref="C47:D48">
    <cfRule type="expression" dxfId="378" priority="311">
      <formula>AND($B$42&lt;&gt;"",ISBLANK($C$42))</formula>
    </cfRule>
  </conditionalFormatting>
  <conditionalFormatting sqref="C48:D48">
    <cfRule type="expression" dxfId="377" priority="308">
      <formula>AND($B$48&lt;&gt;"",ISBLANK($C$48))</formula>
    </cfRule>
  </conditionalFormatting>
  <conditionalFormatting sqref="C49:D49">
    <cfRule type="expression" dxfId="376" priority="611">
      <formula>AND($B$49&lt;&gt;"",ISBLANK($C$49))</formula>
    </cfRule>
  </conditionalFormatting>
  <conditionalFormatting sqref="C50:D50">
    <cfRule type="expression" dxfId="375" priority="589">
      <formula>AND($B$50&lt;&gt;"",ISBLANK($C$50))</formula>
    </cfRule>
  </conditionalFormatting>
  <conditionalFormatting sqref="C51:D51">
    <cfRule type="expression" dxfId="374" priority="577">
      <formula>AND($B$51&lt;&gt;"",ISBLANK($C$51))</formula>
    </cfRule>
  </conditionalFormatting>
  <conditionalFormatting sqref="C52:D52">
    <cfRule type="expression" dxfId="373" priority="600">
      <formula>AND($B$52&lt;&gt;"",ISBLANK($C$52))</formula>
    </cfRule>
  </conditionalFormatting>
  <conditionalFormatting sqref="C53:D53">
    <cfRule type="expression" dxfId="372" priority="826">
      <formula>AND($B$53&lt;&gt;"",ISBLANK($C$53))</formula>
    </cfRule>
  </conditionalFormatting>
  <conditionalFormatting sqref="C57:D57">
    <cfRule type="expression" dxfId="371" priority="747">
      <formula>AND(OR($D$7&lt;&gt;"",$D$9&lt;&gt;""),ISBLANK($C$57))</formula>
    </cfRule>
  </conditionalFormatting>
  <conditionalFormatting sqref="D62:D63">
    <cfRule type="expression" dxfId="370" priority="106">
      <formula>AND($C$52&lt;&gt;"Ring",$C$52&lt;&gt;"")</formula>
    </cfRule>
    <cfRule type="expression" dxfId="369" priority="104">
      <formula>AND($C$52="Ring",ISBLANK(D62))</formula>
    </cfRule>
    <cfRule type="expression" dxfId="368" priority="69">
      <formula>AND($C$52="Ring",ISBLANK(D62))</formula>
    </cfRule>
    <cfRule type="expression" dxfId="367" priority="71">
      <formula>AND($C$52&lt;&gt;"Ring",$C$52&lt;&gt;"")</formula>
    </cfRule>
  </conditionalFormatting>
  <conditionalFormatting sqref="D62:D64">
    <cfRule type="expression" dxfId="366" priority="112">
      <formula>AND($C$52="Ring",ISBLANK(D62))</formula>
    </cfRule>
    <cfRule type="expression" dxfId="365" priority="1">
      <formula>AND($C$52="Ring",ISBLANK(D62))</formula>
    </cfRule>
    <cfRule type="expression" dxfId="364" priority="547">
      <formula>AND($C$52="Ring",ISBLANK(D62))</formula>
    </cfRule>
    <cfRule type="expression" dxfId="363" priority="107">
      <formula>AND($C$52="Ring",ISBLANK(D62))</formula>
    </cfRule>
  </conditionalFormatting>
  <conditionalFormatting sqref="D62:D66">
    <cfRule type="expression" dxfId="362" priority="109">
      <formula>AND($C$52&lt;&gt;"Ring",$C$52&lt;&gt;"")</formula>
    </cfRule>
  </conditionalFormatting>
  <conditionalFormatting sqref="D62:D68">
    <cfRule type="expression" dxfId="361" priority="5">
      <formula>AND($C$52&lt;&gt;"Ring",$C$52&lt;&gt;"")</formula>
    </cfRule>
    <cfRule type="expression" dxfId="360" priority="551">
      <formula>AND($C$52&lt;&gt;"Ring",$C$52&lt;&gt;"")</formula>
    </cfRule>
    <cfRule type="expression" dxfId="359" priority="116">
      <formula>AND($C$52&lt;&gt;"Ring",$C$52&lt;&gt;"")</formula>
    </cfRule>
  </conditionalFormatting>
  <conditionalFormatting sqref="D67">
    <cfRule type="expression" dxfId="358" priority="115">
      <formula>AND($C$52="Ring",ISBLANK(D67))</formula>
    </cfRule>
    <cfRule type="expression" dxfId="357" priority="550">
      <formula>AND($C$52="Ring",ISBLANK(D67))</formula>
    </cfRule>
    <cfRule type="expression" dxfId="356" priority="4">
      <formula>AND($C$52="Ring",ISBLANK(D67))</formula>
    </cfRule>
  </conditionalFormatting>
  <conditionalFormatting sqref="D70:D71">
    <cfRule type="expression" dxfId="355" priority="546">
      <formula>AND($C$52="Ring",ISBLANK(D70))</formula>
    </cfRule>
    <cfRule type="expression" dxfId="354" priority="545">
      <formula>AND($C$52&lt;&gt;"Ring",$C$52&lt;&gt;"")</formula>
    </cfRule>
  </conditionalFormatting>
  <conditionalFormatting sqref="D73 D75">
    <cfRule type="expression" dxfId="353" priority="544">
      <formula>AND($C$52="Ring",ISBLANK(D73))</formula>
    </cfRule>
  </conditionalFormatting>
  <conditionalFormatting sqref="D73:D76">
    <cfRule type="expression" dxfId="352" priority="543">
      <formula>AND($C$52&lt;&gt;"Ring",$C$52&lt;&gt;"")</formula>
    </cfRule>
  </conditionalFormatting>
  <conditionalFormatting sqref="D7:I7">
    <cfRule type="expression" dxfId="351" priority="522">
      <formula>AND($D$9&lt;&gt;"",ISBLANK($D$7))</formula>
    </cfRule>
  </conditionalFormatting>
  <conditionalFormatting sqref="D9:I9">
    <cfRule type="expression" dxfId="350" priority="67">
      <formula>AND($D$7&lt;&gt;"",ISBLANK($D$9))</formula>
    </cfRule>
  </conditionalFormatting>
  <conditionalFormatting sqref="D10:I10">
    <cfRule type="expression" dxfId="349" priority="66">
      <formula>AND(OR($D$7&lt;&gt;"",$D$9&lt;&gt;""),ISBLANK($D$10))</formula>
    </cfRule>
  </conditionalFormatting>
  <conditionalFormatting sqref="D11:I11">
    <cfRule type="expression" dxfId="348" priority="68">
      <formula>AND(OR($D$9&lt;&gt;"",$D$7&lt;&gt;""),ISBLANK($D$11))</formula>
    </cfRule>
  </conditionalFormatting>
  <conditionalFormatting sqref="E39:E48">
    <cfRule type="expression" dxfId="347" priority="47">
      <formula>AND($B$39&lt;&gt;"",ISBLANK($E$39))</formula>
    </cfRule>
  </conditionalFormatting>
  <conditionalFormatting sqref="E40:E48">
    <cfRule type="expression" dxfId="346" priority="42">
      <formula>AND($B$40&lt;&gt;"",ISBLANK($E$40))</formula>
    </cfRule>
  </conditionalFormatting>
  <conditionalFormatting sqref="E18:F19">
    <cfRule type="expression" dxfId="345" priority="64">
      <formula>AND($C$18&lt;&gt;"",ISBLANK($E$18))</formula>
    </cfRule>
  </conditionalFormatting>
  <conditionalFormatting sqref="E19:F19">
    <cfRule type="expression" dxfId="344" priority="771">
      <formula>AND($C$19&lt;&gt;"",ISBLANK($E$19))</formula>
    </cfRule>
  </conditionalFormatting>
  <conditionalFormatting sqref="E20:F20">
    <cfRule type="expression" dxfId="343" priority="768">
      <formula>AND($C$20&lt;&gt;"",ISBLANK($E$20))</formula>
    </cfRule>
  </conditionalFormatting>
  <conditionalFormatting sqref="E21:F21">
    <cfRule type="expression" dxfId="342" priority="765">
      <formula>AND($C$21&lt;&gt;"",ISBLANK($E$21))</formula>
    </cfRule>
  </conditionalFormatting>
  <conditionalFormatting sqref="E24:F24">
    <cfRule type="expression" dxfId="341" priority="797">
      <formula>AND(OR(C26&lt;&gt;"",C27&lt;&gt;"",C28&lt;&gt;""),ISBLANK(E24))</formula>
    </cfRule>
  </conditionalFormatting>
  <conditionalFormatting sqref="E26:F26">
    <cfRule type="expression" dxfId="340" priority="795">
      <formula>AND($E$24&lt;&gt;"",ISBLANK($E$26))</formula>
    </cfRule>
  </conditionalFormatting>
  <conditionalFormatting sqref="E27:F27">
    <cfRule type="expression" dxfId="339" priority="789">
      <formula>AND($C$27&lt;&gt;"",ISBLANK($E$27))</formula>
    </cfRule>
  </conditionalFormatting>
  <conditionalFormatting sqref="E28:F28">
    <cfRule type="expression" dxfId="338" priority="786">
      <formula>AND($C$28&lt;&gt;"",ISBLANK($E$28))</formula>
    </cfRule>
  </conditionalFormatting>
  <conditionalFormatting sqref="E33:F33">
    <cfRule type="expression" dxfId="337" priority="61">
      <formula>AND($B$33&lt;&gt;"",ISBLANK($E$33))</formula>
    </cfRule>
  </conditionalFormatting>
  <conditionalFormatting sqref="E34:F34">
    <cfRule type="expression" dxfId="336" priority="939">
      <formula>AND($B$34&lt;&gt;"",ISBLANK($E$34))</formula>
    </cfRule>
  </conditionalFormatting>
  <conditionalFormatting sqref="E35:F35">
    <cfRule type="expression" dxfId="335" priority="925">
      <formula>AND($B$35&lt;&gt;"",ISBLANK($E$35))</formula>
    </cfRule>
  </conditionalFormatting>
  <conditionalFormatting sqref="E39:F46">
    <cfRule type="expression" dxfId="334" priority="33">
      <formula>AND($B$42&lt;&gt;"",ISBLANK($E$42))</formula>
    </cfRule>
  </conditionalFormatting>
  <conditionalFormatting sqref="E47:F47">
    <cfRule type="expression" dxfId="333" priority="295">
      <formula>AND($B$47&lt;&gt;"",ISBLANK($E$47))</formula>
    </cfRule>
    <cfRule type="expression" priority="296">
      <formula>AND($B$47)</formula>
    </cfRule>
    <cfRule type="expression" dxfId="332" priority="298">
      <formula>AND($B$45&lt;&gt;"",ISBLANK($E$45))</formula>
    </cfRule>
  </conditionalFormatting>
  <conditionalFormatting sqref="E48:F48">
    <cfRule type="expression" dxfId="331" priority="294">
      <formula>AND($B$48&lt;&gt;"",ISBLANK($E$48))</formula>
    </cfRule>
  </conditionalFormatting>
  <conditionalFormatting sqref="E49:F49">
    <cfRule type="expression" dxfId="330" priority="610">
      <formula>AND($B$49&lt;&gt;"",ISBLANK($E$49))</formula>
    </cfRule>
  </conditionalFormatting>
  <conditionalFormatting sqref="E50:F50">
    <cfRule type="expression" dxfId="329" priority="588">
      <formula>AND($B$50&lt;&gt;"",ISBLANK($E$50))</formula>
    </cfRule>
  </conditionalFormatting>
  <conditionalFormatting sqref="E51:F51">
    <cfRule type="expression" dxfId="328" priority="576">
      <formula>AND($B$51&lt;&gt;"",ISBLANK($E$51))</formula>
    </cfRule>
  </conditionalFormatting>
  <conditionalFormatting sqref="E52:F52">
    <cfRule type="expression" dxfId="327" priority="599">
      <formula>AND($B$52&lt;&gt;"",ISBLANK($E$52))</formula>
    </cfRule>
  </conditionalFormatting>
  <conditionalFormatting sqref="E53:F53">
    <cfRule type="expression" dxfId="326" priority="632">
      <formula>AND($B$53&lt;&gt;"",ISBLANK($E$53))</formula>
    </cfRule>
  </conditionalFormatting>
  <conditionalFormatting sqref="F62:F66">
    <cfRule type="expression" dxfId="325" priority="1186">
      <formula>AND($C$57&lt;&gt;"Earring",$C$57&lt;&gt;"")</formula>
    </cfRule>
  </conditionalFormatting>
  <conditionalFormatting sqref="F70:G76">
    <cfRule type="expression" dxfId="324" priority="979">
      <formula>AND($C$57&lt;&gt;"Bangle",$C$57&lt;&gt;"")</formula>
    </cfRule>
  </conditionalFormatting>
  <conditionalFormatting sqref="G14">
    <cfRule type="expression" dxfId="323" priority="719">
      <formula>$G$13&lt;&gt;"USD"</formula>
    </cfRule>
  </conditionalFormatting>
  <conditionalFormatting sqref="G19">
    <cfRule type="expression" dxfId="322" priority="773">
      <formula>AND($C$19&lt;&gt;"",ISBLANK($G$19))</formula>
    </cfRule>
  </conditionalFormatting>
  <conditionalFormatting sqref="G39:G47">
    <cfRule type="expression" dxfId="321" priority="46">
      <formula>AND($B$39&lt;&gt;"",ISBLANK($G$39))</formula>
    </cfRule>
  </conditionalFormatting>
  <conditionalFormatting sqref="G47:G48">
    <cfRule type="expression" dxfId="320" priority="41">
      <formula>AND($B$40&lt;&gt;"",ISBLANK($G$40))</formula>
    </cfRule>
  </conditionalFormatting>
  <conditionalFormatting sqref="G55 Y55 I56 G57">
    <cfRule type="expression" dxfId="319" priority="962">
      <formula>OR($B$33="DIAMOND (LAB)",$B$34="DIAMOND (LAB)",$B$35="DIAMOND (LAB)",$B$39="DIAMOND (LAB)",$B$40="DIAMOND (LAB)",$B$41="DIAMOND (LAB)",$B$42="DIAMOND (LAB)",$B$43="DIAMOND (LAB)",$B$44="DIAMOND (LAB)",$B$45="DIAMOND (LAB)",$B$46="DIAMOND (LAB)",$B$47="DIAMOND (LAB)", $B$48="DIAMOND (LAB)", $B$49="DIAMOND (LAB)", $B$50="DIAMOND (LAB)", $B$51="DIAMOND (LAB)", $B$52="DIAMOND (LAB)", $B$53="DIAMOND (LAB)")</formula>
    </cfRule>
  </conditionalFormatting>
  <conditionalFormatting sqref="G62:G63">
    <cfRule type="expression" dxfId="318" priority="539">
      <formula>AND($C$52="Earring",ISBLANK(G62))</formula>
    </cfRule>
  </conditionalFormatting>
  <conditionalFormatting sqref="G62:G66">
    <cfRule type="expression" dxfId="317" priority="538">
      <formula>AND($C$52&lt;&gt;"Earring",$C$52&lt;&gt;"")</formula>
    </cfRule>
  </conditionalFormatting>
  <conditionalFormatting sqref="G64">
    <cfRule type="expression" dxfId="316" priority="537">
      <formula>AND($C$52="EARRING",ISBLANK($G$59))</formula>
    </cfRule>
  </conditionalFormatting>
  <conditionalFormatting sqref="G65">
    <cfRule type="expression" dxfId="315" priority="536">
      <formula>AND($C$52="EARRING",ISBLANK($G$60))</formula>
    </cfRule>
  </conditionalFormatting>
  <conditionalFormatting sqref="G66">
    <cfRule type="expression" dxfId="314" priority="535">
      <formula>AND($C$52="EARRING",ISBLANK($G$61))</formula>
    </cfRule>
  </conditionalFormatting>
  <conditionalFormatting sqref="G70">
    <cfRule type="expression" dxfId="313" priority="978">
      <formula>AND($C$57="bangle",ISBLANK($G$70))</formula>
    </cfRule>
  </conditionalFormatting>
  <conditionalFormatting sqref="G71">
    <cfRule type="expression" dxfId="312" priority="977">
      <formula>AND($C$57="BANGLE",ISBLANK($G$71))</formula>
    </cfRule>
  </conditionalFormatting>
  <conditionalFormatting sqref="G72">
    <cfRule type="expression" dxfId="311" priority="976">
      <formula>AND($C$57="BANGLE",ISBLANK($G$72))</formula>
    </cfRule>
  </conditionalFormatting>
  <conditionalFormatting sqref="G73">
    <cfRule type="expression" dxfId="310" priority="975">
      <formula>AND($C$57="BANGLE",ISBLANK($G$73))</formula>
    </cfRule>
  </conditionalFormatting>
  <conditionalFormatting sqref="G74">
    <cfRule type="expression" dxfId="309" priority="974">
      <formula>AND($C$57="BANGLE",ISBLANK($G$74))</formula>
    </cfRule>
  </conditionalFormatting>
  <conditionalFormatting sqref="G75">
    <cfRule type="expression" dxfId="308" priority="973">
      <formula>AND($C$57="BANGLE",ISBLANK($G$75))</formula>
    </cfRule>
  </conditionalFormatting>
  <conditionalFormatting sqref="G76">
    <cfRule type="expression" dxfId="307" priority="966">
      <formula>AND($C$57="BANGLE",ISBLANK($G$76))</formula>
    </cfRule>
  </conditionalFormatting>
  <conditionalFormatting sqref="G18:H18">
    <cfRule type="expression" dxfId="306" priority="63">
      <formula>AND($C$18&lt;&gt;"",ISBLANK($G$18))</formula>
    </cfRule>
  </conditionalFormatting>
  <conditionalFormatting sqref="G20:H20">
    <cfRule type="expression" dxfId="305" priority="698">
      <formula>AND($C$20&lt;&gt;"",ISBLANK($G$20))</formula>
    </cfRule>
  </conditionalFormatting>
  <conditionalFormatting sqref="G21:H21">
    <cfRule type="expression" dxfId="304" priority="696">
      <formula>AND($C$21&lt;&gt;"",ISBLANK($G$21))</formula>
    </cfRule>
  </conditionalFormatting>
  <conditionalFormatting sqref="G26:H26">
    <cfRule type="expression" dxfId="303" priority="794">
      <formula>AND($E$24&lt;&gt;"",ISBLANK($G$26))</formula>
    </cfRule>
  </conditionalFormatting>
  <conditionalFormatting sqref="G27:H27">
    <cfRule type="expression" dxfId="302" priority="788">
      <formula>AND($C$27&lt;&gt;"",ISBLANK($G$27))</formula>
    </cfRule>
  </conditionalFormatting>
  <conditionalFormatting sqref="G28:H28">
    <cfRule type="expression" dxfId="301" priority="785">
      <formula>AND($C$28&lt;&gt;"",ISBLANK($G$28))</formula>
    </cfRule>
  </conditionalFormatting>
  <conditionalFormatting sqref="G33:H33">
    <cfRule type="expression" dxfId="300" priority="60">
      <formula>AND($B$33&lt;&gt;"",ISBLANK($G$33))</formula>
    </cfRule>
  </conditionalFormatting>
  <conditionalFormatting sqref="G34:H34">
    <cfRule type="expression" dxfId="299" priority="938">
      <formula>AND($B$34&lt;&gt;"",ISBLANK($G$34))</formula>
    </cfRule>
  </conditionalFormatting>
  <conditionalFormatting sqref="G35:H35">
    <cfRule type="expression" dxfId="298" priority="924">
      <formula>AND($B$35&lt;&gt;"",ISBLANK($G$35))</formula>
    </cfRule>
  </conditionalFormatting>
  <conditionalFormatting sqref="G47:H47">
    <cfRule type="expression" dxfId="297" priority="34">
      <formula>AND($B$41&lt;&gt;"",ISBLANK($G$41))</formula>
    </cfRule>
    <cfRule type="expression" dxfId="296" priority="283">
      <formula>AND($B$47&lt;&gt;"",ISBLANK($G$47))</formula>
    </cfRule>
  </conditionalFormatting>
  <conditionalFormatting sqref="G48:H48">
    <cfRule type="expression" dxfId="295" priority="282">
      <formula>AND($B$48&lt;&gt;"",ISBLANK($G$48))</formula>
    </cfRule>
  </conditionalFormatting>
  <conditionalFormatting sqref="G49:H49">
    <cfRule type="expression" dxfId="294" priority="609">
      <formula>AND($B$49&lt;&gt;"",ISBLANK($G$49))</formula>
    </cfRule>
  </conditionalFormatting>
  <conditionalFormatting sqref="G50:H50">
    <cfRule type="expression" dxfId="293" priority="587">
      <formula>AND($B$50&lt;&gt;"",ISBLANK($G$50))</formula>
    </cfRule>
  </conditionalFormatting>
  <conditionalFormatting sqref="G51:H51">
    <cfRule type="expression" dxfId="292" priority="575">
      <formula>AND($B$51&lt;&gt;"",ISBLANK($G$51))</formula>
    </cfRule>
  </conditionalFormatting>
  <conditionalFormatting sqref="G52:H52">
    <cfRule type="expression" dxfId="291" priority="598">
      <formula>AND($B$52&lt;&gt;"",ISBLANK($G$52))</formula>
    </cfRule>
  </conditionalFormatting>
  <conditionalFormatting sqref="G53:H53">
    <cfRule type="expression" dxfId="290" priority="631">
      <formula>AND($B$53&lt;&gt;"",ISBLANK($G$53))</formula>
    </cfRule>
  </conditionalFormatting>
  <conditionalFormatting sqref="I18">
    <cfRule type="expression" dxfId="289" priority="532">
      <formula>AND($C$18&lt;&gt;"",ISBLANK($I$18))</formula>
    </cfRule>
  </conditionalFormatting>
  <conditionalFormatting sqref="I45">
    <cfRule type="expression" dxfId="288" priority="275">
      <formula>AND($B$45&lt;&gt;"",ISBLANK($I$45))</formula>
    </cfRule>
  </conditionalFormatting>
  <conditionalFormatting sqref="I15:J15">
    <cfRule type="expression" dxfId="287" priority="518">
      <formula>AND(OR($D$9&lt;&gt;"",$D$7&lt;&gt;""),ISBLANK($I$15))</formula>
    </cfRule>
  </conditionalFormatting>
  <conditionalFormatting sqref="I19:J19">
    <cfRule type="expression" dxfId="286" priority="699">
      <formula>AND($C$19&lt;&gt;"",ISBLANK($I$19))</formula>
    </cfRule>
  </conditionalFormatting>
  <conditionalFormatting sqref="I20:J20">
    <cfRule type="expression" dxfId="285" priority="697">
      <formula>AND($C$20&lt;&gt;"",ISBLANK($I$20))</formula>
    </cfRule>
  </conditionalFormatting>
  <conditionalFormatting sqref="I21:J21">
    <cfRule type="expression" dxfId="284" priority="695">
      <formula>AND($C$21&lt;&gt;"",ISBLANK($I$21))</formula>
    </cfRule>
  </conditionalFormatting>
  <conditionalFormatting sqref="I26:J26">
    <cfRule type="expression" dxfId="283" priority="793">
      <formula>AND($E$24&lt;&gt;"",ISBLANK($I$26))</formula>
    </cfRule>
  </conditionalFormatting>
  <conditionalFormatting sqref="I27:J27">
    <cfRule type="expression" dxfId="282" priority="787">
      <formula>AND($C$27&lt;&gt;"",ISBLANK($I$27))</formula>
    </cfRule>
  </conditionalFormatting>
  <conditionalFormatting sqref="I28:J28">
    <cfRule type="expression" dxfId="281" priority="784">
      <formula>AND($C$28&lt;&gt;"",ISBLANK($I$28))</formula>
    </cfRule>
  </conditionalFormatting>
  <conditionalFormatting sqref="I33:J33">
    <cfRule type="expression" dxfId="280" priority="59">
      <formula>AND($B$33&lt;&gt;"",ISBLANK($I$33))</formula>
    </cfRule>
  </conditionalFormatting>
  <conditionalFormatting sqref="I34:J34">
    <cfRule type="expression" dxfId="279" priority="937">
      <formula>AND($B$34&lt;&gt;"",ISBLANK($I$34))</formula>
    </cfRule>
  </conditionalFormatting>
  <conditionalFormatting sqref="I35:J35">
    <cfRule type="expression" dxfId="278" priority="923">
      <formula>AND($B$35&lt;&gt;"",ISBLANK($I$35))</formula>
    </cfRule>
  </conditionalFormatting>
  <conditionalFormatting sqref="I39:J39">
    <cfRule type="expression" dxfId="277" priority="45">
      <formula>AND($B$39&lt;&gt;"",ISBLANK($I$39))</formula>
    </cfRule>
  </conditionalFormatting>
  <conditionalFormatting sqref="I40:J40">
    <cfRule type="expression" dxfId="276" priority="40">
      <formula>AND($B$40&lt;&gt;"",ISBLANK($I$40))</formula>
    </cfRule>
  </conditionalFormatting>
  <conditionalFormatting sqref="I41:J41">
    <cfRule type="expression" dxfId="275" priority="37">
      <formula>AND($B$41&lt;&gt;"",ISBLANK($I$41))</formula>
    </cfRule>
  </conditionalFormatting>
  <conditionalFormatting sqref="I42:J42">
    <cfRule type="expression" dxfId="274" priority="278">
      <formula>AND($B$42&lt;&gt;"",ISBLANK($I$42))</formula>
    </cfRule>
  </conditionalFormatting>
  <conditionalFormatting sqref="I43:J43">
    <cfRule type="expression" dxfId="273" priority="277">
      <formula>AND($B$43&lt;&gt;"",ISBLANK($I$43))</formula>
    </cfRule>
  </conditionalFormatting>
  <conditionalFormatting sqref="I44:J44">
    <cfRule type="expression" dxfId="272" priority="276">
      <formula>AND($B$44&lt;&gt;"",ISBLANK($I$44))</formula>
    </cfRule>
  </conditionalFormatting>
  <conditionalFormatting sqref="I46:J46">
    <cfRule type="expression" dxfId="271" priority="273">
      <formula>AND($B$46&lt;&gt;"",ISBLANK($I$46))</formula>
    </cfRule>
  </conditionalFormatting>
  <conditionalFormatting sqref="I47:J47">
    <cfRule type="expression" dxfId="270" priority="272">
      <formula>AND($B$47&lt;&gt;"",ISBLANK($I$47))</formula>
    </cfRule>
  </conditionalFormatting>
  <conditionalFormatting sqref="I48:J48">
    <cfRule type="expression" dxfId="269" priority="274">
      <formula>AND($B$48&lt;&gt;"",ISBLANK($I$48))</formula>
    </cfRule>
  </conditionalFormatting>
  <conditionalFormatting sqref="I49:J49">
    <cfRule type="expression" dxfId="268" priority="608">
      <formula>AND($B$49&lt;&gt;"",ISBLANK($I$49))</formula>
    </cfRule>
  </conditionalFormatting>
  <conditionalFormatting sqref="I50:J50">
    <cfRule type="expression" dxfId="267" priority="586">
      <formula>AND($B$50&lt;&gt;"",ISBLANK($I$50))</formula>
    </cfRule>
  </conditionalFormatting>
  <conditionalFormatting sqref="I51:J51">
    <cfRule type="expression" dxfId="266" priority="574">
      <formula>AND($B$51&lt;&gt;"",ISBLANK($I$51))</formula>
    </cfRule>
  </conditionalFormatting>
  <conditionalFormatting sqref="I52:J52">
    <cfRule type="expression" dxfId="265" priority="597">
      <formula>AND($B$52&lt;&gt;"",ISBLANK($I$52))</formula>
    </cfRule>
  </conditionalFormatting>
  <conditionalFormatting sqref="I53:J53">
    <cfRule type="expression" dxfId="264" priority="823">
      <formula>AND($B$53&lt;&gt;"",ISBLANK($I$53))</formula>
    </cfRule>
  </conditionalFormatting>
  <conditionalFormatting sqref="I62:K65">
    <cfRule type="expression" dxfId="263" priority="1184">
      <formula>AND($C$57&lt;&gt;"",$C$57&lt;&gt;"PENDANT")</formula>
    </cfRule>
  </conditionalFormatting>
  <conditionalFormatting sqref="I68:K71">
    <cfRule type="expression" dxfId="262" priority="1183">
      <formula>AND($C$57&lt;&gt;"",$C$57&lt;&gt;"ACCESSORY")</formula>
    </cfRule>
  </conditionalFormatting>
  <conditionalFormatting sqref="K15">
    <cfRule type="expression" dxfId="261" priority="521">
      <formula>($I$15="dollars")</formula>
    </cfRule>
    <cfRule type="expression" dxfId="260" priority="520">
      <formula>AND(OR($I$15="dollars",$I$15="grams",$I$15="units"),ISBLANK($K$15))</formula>
    </cfRule>
  </conditionalFormatting>
  <conditionalFormatting sqref="K39">
    <cfRule type="expression" dxfId="259" priority="44">
      <formula>AND($B$39&lt;&gt;"",ISBLANK($K$39))</formula>
    </cfRule>
  </conditionalFormatting>
  <conditionalFormatting sqref="K57">
    <cfRule type="expression" dxfId="258" priority="118">
      <formula>AND($K$56&gt;0,ISBLANK($K$57))</formula>
    </cfRule>
  </conditionalFormatting>
  <conditionalFormatting sqref="K62:K65">
    <cfRule type="expression" dxfId="257" priority="1247">
      <formula>AND($C$57="PENDANT",ISBLANK(K62))</formula>
    </cfRule>
  </conditionalFormatting>
  <conditionalFormatting sqref="K68">
    <cfRule type="expression" dxfId="256" priority="1179">
      <formula>AND($C$57="ACCESSORY",ISBLANK($K$68))</formula>
    </cfRule>
  </conditionalFormatting>
  <conditionalFormatting sqref="K69">
    <cfRule type="expression" dxfId="255" priority="1178">
      <formula>AND($C$57="ACCESSORY",ISBLANK($K$69))</formula>
    </cfRule>
  </conditionalFormatting>
  <conditionalFormatting sqref="K70">
    <cfRule type="expression" dxfId="254" priority="1177">
      <formula>AND($C$57="ACCESSORY",ISBLANK($K$70))</formula>
    </cfRule>
  </conditionalFormatting>
  <conditionalFormatting sqref="K71">
    <cfRule type="expression" dxfId="253" priority="1176">
      <formula>AND($C$57="ACCESSORY",ISBLANK($K$71))</formula>
    </cfRule>
  </conditionalFormatting>
  <conditionalFormatting sqref="K74">
    <cfRule type="expression" dxfId="252" priority="780">
      <formula>AND(OR($C$57="CHAIN",$C$57="BRACELET_ANKLET"),ISBLANK($K$74))</formula>
    </cfRule>
  </conditionalFormatting>
  <conditionalFormatting sqref="K75">
    <cfRule type="expression" dxfId="251" priority="779">
      <formula>AND(OR($C$57="CHAIN",$C$57="BRACELET_ANKLET"),ISBLANK($K$75))</formula>
    </cfRule>
  </conditionalFormatting>
  <conditionalFormatting sqref="K76">
    <cfRule type="expression" dxfId="250" priority="778">
      <formula>AND(OR($C$57="CHAIN",$C$57="BRACELET_ANKLET"),ISBLANK($K$76))</formula>
    </cfRule>
  </conditionalFormatting>
  <conditionalFormatting sqref="K26:L26">
    <cfRule type="expression" dxfId="249" priority="792">
      <formula>AND($E$24="FIXED",OR($K$26=0,ISBLANK($K$26)))</formula>
    </cfRule>
  </conditionalFormatting>
  <conditionalFormatting sqref="K26:L28">
    <cfRule type="expression" dxfId="248" priority="807">
      <formula>$E$24="VARIABLE"</formula>
    </cfRule>
  </conditionalFormatting>
  <conditionalFormatting sqref="K27:L27">
    <cfRule type="expression" dxfId="247" priority="791">
      <formula>AND($E$24="FIXED",$C$27&lt;&gt;"",OR($K$27=0,ISBLANK($K$27)))</formula>
    </cfRule>
  </conditionalFormatting>
  <conditionalFormatting sqref="K28:L28">
    <cfRule type="expression" dxfId="246" priority="790">
      <formula>AND($E$24="FIXED",$C$28&lt;&gt;"",OR($K$28=0,ISBLANK($K$28)))</formula>
    </cfRule>
  </conditionalFormatting>
  <conditionalFormatting sqref="K33:L33">
    <cfRule type="expression" dxfId="245" priority="57">
      <formula>AND($B$33&lt;&gt;"",ISBLANK($K$33))</formula>
    </cfRule>
  </conditionalFormatting>
  <conditionalFormatting sqref="K34:L34">
    <cfRule type="expression" dxfId="244" priority="936">
      <formula>AND($B$34&lt;&gt;"",ISBLANK($K$34))</formula>
    </cfRule>
  </conditionalFormatting>
  <conditionalFormatting sqref="K35:L35">
    <cfRule type="expression" dxfId="243" priority="922">
      <formula>AND($B$35&lt;&gt;"",ISBLANK($K$35))</formula>
    </cfRule>
  </conditionalFormatting>
  <conditionalFormatting sqref="K40:L40">
    <cfRule type="expression" dxfId="242" priority="39">
      <formula>AND($B$40&lt;&gt;"",ISBLANK($K$40))</formula>
    </cfRule>
  </conditionalFormatting>
  <conditionalFormatting sqref="K41:L41">
    <cfRule type="expression" dxfId="241" priority="36">
      <formula>AND($B$41&lt;&gt;"",ISBLANK($K$41))</formula>
    </cfRule>
  </conditionalFormatting>
  <conditionalFormatting sqref="K42:L42">
    <cfRule type="expression" dxfId="240" priority="268">
      <formula>AND($B$42&lt;&gt;"",ISBLANK($K$42))</formula>
    </cfRule>
  </conditionalFormatting>
  <conditionalFormatting sqref="K43:L43">
    <cfRule type="expression" dxfId="239" priority="267">
      <formula>AND($B$43&lt;&gt;"",ISBLANK($K$43))</formula>
    </cfRule>
  </conditionalFormatting>
  <conditionalFormatting sqref="K44:L44">
    <cfRule type="expression" dxfId="238" priority="266">
      <formula>AND($B$44&lt;&gt;"",ISBLANK($K$44))</formula>
    </cfRule>
  </conditionalFormatting>
  <conditionalFormatting sqref="K45:L45">
    <cfRule type="expression" dxfId="237" priority="265">
      <formula>AND($B$45&lt;&gt;"",ISBLANK($K$45))</formula>
    </cfRule>
  </conditionalFormatting>
  <conditionalFormatting sqref="K46:L46">
    <cfRule type="expression" dxfId="236" priority="264">
      <formula>AND($B$46&lt;&gt;"",ISBLANK($K$46))</formula>
    </cfRule>
  </conditionalFormatting>
  <conditionalFormatting sqref="K47:L47">
    <cfRule type="expression" dxfId="235" priority="263">
      <formula>AND($B$47&lt;&gt;"",ISBLANK($K$47))</formula>
    </cfRule>
  </conditionalFormatting>
  <conditionalFormatting sqref="K48:L48">
    <cfRule type="expression" dxfId="234" priority="262">
      <formula>AND($B$48&lt;&gt;"",ISBLANK($K$48))</formula>
    </cfRule>
  </conditionalFormatting>
  <conditionalFormatting sqref="K49:L49">
    <cfRule type="expression" dxfId="233" priority="607">
      <formula>AND($B$49&lt;&gt;"",ISBLANK($K$49))</formula>
    </cfRule>
  </conditionalFormatting>
  <conditionalFormatting sqref="K50:L50">
    <cfRule type="expression" dxfId="232" priority="585">
      <formula>AND($B$50&lt;&gt;"",ISBLANK($K$50))</formula>
    </cfRule>
  </conditionalFormatting>
  <conditionalFormatting sqref="K51:L51">
    <cfRule type="expression" dxfId="231" priority="573">
      <formula>AND($B$51&lt;&gt;"",ISBLANK($K$51))</formula>
    </cfRule>
  </conditionalFormatting>
  <conditionalFormatting sqref="K52:L52">
    <cfRule type="expression" dxfId="230" priority="596">
      <formula>AND($B$52&lt;&gt;"",ISBLANK($K$52))</formula>
    </cfRule>
  </conditionalFormatting>
  <conditionalFormatting sqref="K53:L53">
    <cfRule type="expression" dxfId="229" priority="630">
      <formula>AND($B$53&lt;&gt;"",ISBLANK($K$53))</formula>
    </cfRule>
  </conditionalFormatting>
  <conditionalFormatting sqref="K56:L56">
    <cfRule type="expression" dxfId="228" priority="117">
      <formula>OR($B$33="DIAMOND (LAB)",$B$34="DIAMOND (LAB)",$B$35="DIAMOND (LAB)",$B$39="DIAMOND (LAB)",$B$40="DIAMOND (LAB)",$B$41="DIAMOND (LAB)",$B$42="DIAMOND (LAB)",$B$43="DIAMOND (LAB)",$B$44="DIAMOND (LAB)",$B$45="DIAMOND (LAB)",$B$46="DIAMOND (LAB)",$B$47="DIAMOND (LAB)", $B$48="DIAMOND (LAB)", $B$49="DIAMOND (LAB)", $B$50="DIAMOND (LAB)", $B$51="DIAMOND (LAB)", $B$52="DIAMOND (LAB)", $B$53="DIAMOND (LAB)")</formula>
    </cfRule>
  </conditionalFormatting>
  <conditionalFormatting sqref="K15:M15">
    <cfRule type="expression" dxfId="227" priority="519">
      <formula>($I$15="none")</formula>
    </cfRule>
    <cfRule type="expression" dxfId="226" priority="529">
      <formula>($I$15="none")</formula>
    </cfRule>
  </conditionalFormatting>
  <conditionalFormatting sqref="L15:M15">
    <cfRule type="expression" dxfId="225" priority="526">
      <formula>AND($K$15&lt;&gt;"",ISBLANK($L$15))</formula>
    </cfRule>
    <cfRule type="expression" dxfId="224" priority="517">
      <formula>AND($K$15&lt;&gt;"",ISBLANK($L$15))</formula>
    </cfRule>
  </conditionalFormatting>
  <conditionalFormatting sqref="M26">
    <cfRule type="expression" dxfId="223" priority="802">
      <formula>$M$26="ERROR"</formula>
    </cfRule>
  </conditionalFormatting>
  <conditionalFormatting sqref="M27">
    <cfRule type="expression" dxfId="222" priority="800">
      <formula>$M$27="ERROR"</formula>
    </cfRule>
  </conditionalFormatting>
  <conditionalFormatting sqref="M28">
    <cfRule type="expression" dxfId="221" priority="799">
      <formula>$M$28="ERROR"</formula>
    </cfRule>
  </conditionalFormatting>
  <conditionalFormatting sqref="M33">
    <cfRule type="expression" dxfId="220" priority="947">
      <formula>AND($B$33&lt;&gt;"",ISBLANK($M$33))</formula>
    </cfRule>
    <cfRule type="expression" dxfId="219" priority="713">
      <formula>$M$33="ENTER QTY"</formula>
    </cfRule>
  </conditionalFormatting>
  <conditionalFormatting sqref="M34">
    <cfRule type="expression" dxfId="218" priority="935">
      <formula>AND($B$34&lt;&gt;"",ISBLANK($M$34))</formula>
    </cfRule>
    <cfRule type="expression" dxfId="217" priority="712">
      <formula>$M$34="ENTER QTY"</formula>
    </cfRule>
  </conditionalFormatting>
  <conditionalFormatting sqref="M35">
    <cfRule type="expression" dxfId="216" priority="711">
      <formula>$M$35="ENTER QTY"</formula>
    </cfRule>
    <cfRule type="expression" dxfId="215" priority="921">
      <formula>AND($B$35&lt;&gt;"",ISBLANK($M$35))</formula>
    </cfRule>
  </conditionalFormatting>
  <conditionalFormatting sqref="M39:M46">
    <cfRule type="expression" dxfId="214" priority="710">
      <formula>$M$39="ENTER QTY"</formula>
    </cfRule>
    <cfRule type="expression" dxfId="213" priority="908">
      <formula>AND($B$39&lt;&gt;"",ISBLANK($M$39))</formula>
    </cfRule>
  </conditionalFormatting>
  <conditionalFormatting sqref="M40:M46 M53">
    <cfRule type="expression" dxfId="212" priority="896">
      <formula>AND($B$40&lt;&gt;"",ISBLANK($M$40))</formula>
    </cfRule>
  </conditionalFormatting>
  <conditionalFormatting sqref="M40:M46">
    <cfRule type="expression" dxfId="211" priority="709">
      <formula>$M$40="ENTER QTY"</formula>
    </cfRule>
  </conditionalFormatting>
  <conditionalFormatting sqref="M47:M52">
    <cfRule type="expression" dxfId="210" priority="702">
      <formula>$M$47="ENTER QTY"</formula>
    </cfRule>
    <cfRule type="expression" dxfId="209" priority="638">
      <formula>AND($B$47&lt;&gt;"",ISBLANK($M$47))</formula>
    </cfRule>
  </conditionalFormatting>
  <conditionalFormatting sqref="M53">
    <cfRule type="expression" dxfId="208" priority="701">
      <formula>$M$53="ENTER QTY"</formula>
    </cfRule>
    <cfRule type="expression" dxfId="207" priority="629">
      <formula>AND($B$53&lt;&gt;"",ISBLANK($M$53))</formula>
    </cfRule>
  </conditionalFormatting>
  <conditionalFormatting sqref="M9:R9">
    <cfRule type="expression" dxfId="206" priority="758">
      <formula>AND(OR($D$9&lt;&gt;"",$D$7&lt;&gt;""),ISBLANK($M$9))</formula>
    </cfRule>
  </conditionalFormatting>
  <conditionalFormatting sqref="M10:R10">
    <cfRule type="expression" dxfId="205" priority="757">
      <formula>AND(OR($D$9&lt;&gt;"",$D$7&lt;&gt;""),ISBLANK($M$10))</formula>
    </cfRule>
  </conditionalFormatting>
  <conditionalFormatting sqref="M11:R11">
    <cfRule type="expression" dxfId="204" priority="756">
      <formula>AND(OR($D$9&lt;&gt;"",$D$7&lt;&gt;""),ISBLANK($M$11))</formula>
    </cfRule>
  </conditionalFormatting>
  <conditionalFormatting sqref="N39">
    <cfRule type="expression" dxfId="203" priority="32">
      <formula>AND($B$39&lt;&gt;"",ISBLANK($N$39))</formula>
    </cfRule>
  </conditionalFormatting>
  <conditionalFormatting sqref="N74">
    <cfRule type="expression" dxfId="202" priority="972">
      <formula>AND(OR($C$57="CHAIN",$C$57="BRACELET_ANKLET"),ISBLANK($N$74))</formula>
    </cfRule>
  </conditionalFormatting>
  <conditionalFormatting sqref="N74:N76 K74:L76 I74:I76">
    <cfRule type="expression" dxfId="201" priority="1185">
      <formula>AND($C$57&lt;&gt;"",$C$57&lt;&gt;"Chain",$C$57&lt;&gt;"Bracelet_Anklet")</formula>
    </cfRule>
  </conditionalFormatting>
  <conditionalFormatting sqref="N75">
    <cfRule type="expression" dxfId="200" priority="971">
      <formula>AND(OR($C$57="CHAIN",$C$57="BRACELET_ANKLET"),ISBLANK($N$75))</formula>
    </cfRule>
  </conditionalFormatting>
  <conditionalFormatting sqref="N76">
    <cfRule type="expression" dxfId="199" priority="970">
      <formula>AND(OR($C$57="CHAIN",$C$57="BRACELET_ANKLET"),ISBLANK($N$76))</formula>
    </cfRule>
  </conditionalFormatting>
  <conditionalFormatting sqref="N33:O33">
    <cfRule type="expression" dxfId="198" priority="56">
      <formula>AND($B$33&lt;&gt;"",ISBLANK($N$33))</formula>
    </cfRule>
  </conditionalFormatting>
  <conditionalFormatting sqref="N34:O34">
    <cfRule type="expression" dxfId="197" priority="934">
      <formula>AND($B$34&lt;&gt;"",ISBLANK($N$34))</formula>
    </cfRule>
  </conditionalFormatting>
  <conditionalFormatting sqref="N35:O35">
    <cfRule type="expression" dxfId="196" priority="920">
      <formula>AND($B$35&lt;&gt;"",ISBLANK($N$35))</formula>
    </cfRule>
  </conditionalFormatting>
  <conditionalFormatting sqref="N40:O40">
    <cfRule type="expression" dxfId="195" priority="28">
      <formula>AND($B$40&lt;&gt;"",ISBLANK($N$40))</formula>
    </cfRule>
  </conditionalFormatting>
  <conditionalFormatting sqref="N41:O41">
    <cfRule type="expression" dxfId="194" priority="27">
      <formula>AND($B$41&lt;&gt;"",ISBLANK($N$41))</formula>
    </cfRule>
  </conditionalFormatting>
  <conditionalFormatting sqref="N42:O43">
    <cfRule type="expression" dxfId="193" priority="209">
      <formula>AND($B$42&lt;&gt;"",ISBLANK($N$42))</formula>
    </cfRule>
  </conditionalFormatting>
  <conditionalFormatting sqref="N43:O43">
    <cfRule type="expression" dxfId="192" priority="208">
      <formula>AND($B$43&lt;&gt;"",ISBLANK($N$43))</formula>
    </cfRule>
  </conditionalFormatting>
  <conditionalFormatting sqref="N44:O44">
    <cfRule type="expression" dxfId="191" priority="207">
      <formula>AND($B$44&lt;&gt;"",ISBLANK($N$44))</formula>
    </cfRule>
  </conditionalFormatting>
  <conditionalFormatting sqref="N45:O45">
    <cfRule type="expression" dxfId="190" priority="206">
      <formula>AND($B$45&lt;&gt;"",ISBLANK($N$45))</formula>
    </cfRule>
  </conditionalFormatting>
  <conditionalFormatting sqref="N46:O46">
    <cfRule type="expression" dxfId="189" priority="205">
      <formula>AND($B$46&lt;&gt;"",ISBLANK($N$46))</formula>
    </cfRule>
  </conditionalFormatting>
  <conditionalFormatting sqref="N47:O47">
    <cfRule type="expression" dxfId="188" priority="204">
      <formula>AND($B$47&lt;&gt;"",ISBLANK($N$47))</formula>
    </cfRule>
    <cfRule type="expression" dxfId="187" priority="202">
      <formula>AND($B$45&lt;&gt;"",ISBLANK($N$45))</formula>
    </cfRule>
  </conditionalFormatting>
  <conditionalFormatting sqref="N48:O48">
    <cfRule type="expression" dxfId="186" priority="203">
      <formula>AND($B$48&lt;&gt;"",ISBLANK($N$48))</formula>
    </cfRule>
  </conditionalFormatting>
  <conditionalFormatting sqref="N49:O49">
    <cfRule type="expression" dxfId="185" priority="606">
      <formula>AND($B$49&lt;&gt;"",ISBLANK($N$49))</formula>
    </cfRule>
  </conditionalFormatting>
  <conditionalFormatting sqref="N50:O50">
    <cfRule type="expression" dxfId="184" priority="584">
      <formula>AND($B$50&lt;&gt;"",ISBLANK($N$50))</formula>
    </cfRule>
  </conditionalFormatting>
  <conditionalFormatting sqref="N51:O51">
    <cfRule type="expression" dxfId="183" priority="572">
      <formula>AND($B$51&lt;&gt;"",ISBLANK($N$51))</formula>
    </cfRule>
  </conditionalFormatting>
  <conditionalFormatting sqref="N52:O52">
    <cfRule type="expression" dxfId="182" priority="595">
      <formula>AND($B$52&lt;&gt;"",ISBLANK($N$52))</formula>
    </cfRule>
  </conditionalFormatting>
  <conditionalFormatting sqref="N53:O53">
    <cfRule type="expression" dxfId="181" priority="628">
      <formula>AND($B$53&lt;&gt;"",ISBLANK($N$53))</formula>
    </cfRule>
  </conditionalFormatting>
  <conditionalFormatting sqref="P39">
    <cfRule type="expression" dxfId="180" priority="31">
      <formula>AND($B$39&lt;&gt;"",ISBLANK($P$39))</formula>
    </cfRule>
  </conditionalFormatting>
  <conditionalFormatting sqref="P33:Q33">
    <cfRule type="expression" dxfId="179" priority="55">
      <formula>AND($B$33&lt;&gt;"",ISBLANK($P$33))</formula>
    </cfRule>
  </conditionalFormatting>
  <conditionalFormatting sqref="P34:Q34">
    <cfRule type="expression" dxfId="178" priority="933">
      <formula>AND($B$34&lt;&gt;"",ISBLANK($P$34))</formula>
    </cfRule>
  </conditionalFormatting>
  <conditionalFormatting sqref="P35:Q35">
    <cfRule type="expression" dxfId="177" priority="919">
      <formula>AND($B$35&lt;&gt;"",ISBLANK($P$35))</formula>
    </cfRule>
  </conditionalFormatting>
  <conditionalFormatting sqref="P40:Q40">
    <cfRule type="expression" dxfId="176" priority="17">
      <formula>AND($B$40&lt;&gt;"",ISBLANK($P$40))</formula>
    </cfRule>
  </conditionalFormatting>
  <conditionalFormatting sqref="P41:Q41">
    <cfRule type="expression" dxfId="175" priority="14">
      <formula>AND($B$41&lt;&gt;"",ISBLANK($P$41))</formula>
    </cfRule>
  </conditionalFormatting>
  <conditionalFormatting sqref="P42:Q42">
    <cfRule type="expression" dxfId="174" priority="198">
      <formula>AND($B$42&lt;&gt;"",ISBLANK($P$42))</formula>
    </cfRule>
  </conditionalFormatting>
  <conditionalFormatting sqref="P43:Q43">
    <cfRule type="expression" dxfId="173" priority="197">
      <formula>AND($B$43&lt;&gt;"",ISBLANK($P$43))</formula>
    </cfRule>
  </conditionalFormatting>
  <conditionalFormatting sqref="P44:Q44">
    <cfRule type="expression" dxfId="172" priority="196">
      <formula>AND($B$44&lt;&gt;"",ISBLANK($P$44))</formula>
    </cfRule>
  </conditionalFormatting>
  <conditionalFormatting sqref="P45:Q45">
    <cfRule type="expression" dxfId="171" priority="195">
      <formula>AND($B$45&lt;&gt;"",ISBLANK($P$45))</formula>
    </cfRule>
  </conditionalFormatting>
  <conditionalFormatting sqref="P46:Q46">
    <cfRule type="expression" dxfId="170" priority="194">
      <formula>AND($B$46&lt;&gt;"",ISBLANK($P$46))</formula>
    </cfRule>
  </conditionalFormatting>
  <conditionalFormatting sqref="P47:Q47">
    <cfRule type="expression" dxfId="169" priority="193">
      <formula>AND($B$47&lt;&gt;"",ISBLANK($P$47))</formula>
    </cfRule>
  </conditionalFormatting>
  <conditionalFormatting sqref="P48:Q48">
    <cfRule type="expression" dxfId="168" priority="192">
      <formula>AND($B$48&lt;&gt;"",ISBLANK($P$48))</formula>
    </cfRule>
  </conditionalFormatting>
  <conditionalFormatting sqref="P49:Q49">
    <cfRule type="expression" dxfId="167" priority="605">
      <formula>AND($B$49&lt;&gt;"",ISBLANK($P$49))</formula>
    </cfRule>
  </conditionalFormatting>
  <conditionalFormatting sqref="P50:Q50">
    <cfRule type="expression" dxfId="166" priority="583">
      <formula>AND($B$50&lt;&gt;"",ISBLANK($P$50))</formula>
    </cfRule>
  </conditionalFormatting>
  <conditionalFormatting sqref="P51:Q51">
    <cfRule type="expression" dxfId="165" priority="571">
      <formula>AND($B$51&lt;&gt;"",ISBLANK($P$51))</formula>
    </cfRule>
  </conditionalFormatting>
  <conditionalFormatting sqref="P52:Q52">
    <cfRule type="expression" dxfId="164" priority="594">
      <formula>AND($B$52&lt;&gt;"",ISBLANK($P$52))</formula>
    </cfRule>
  </conditionalFormatting>
  <conditionalFormatting sqref="P53:Q53">
    <cfRule type="expression" dxfId="163" priority="627">
      <formula>AND($B$53&lt;&gt;"",ISBLANK($P$53))</formula>
    </cfRule>
  </conditionalFormatting>
  <conditionalFormatting sqref="Q28">
    <cfRule type="expression" dxfId="162" priority="749">
      <formula>AND(OR($D$7&lt;&gt;"",$D$9&lt;&gt;""),ISBLANK($Q$28))</formula>
    </cfRule>
  </conditionalFormatting>
  <conditionalFormatting sqref="Q25:R25">
    <cfRule type="expression" dxfId="161" priority="750">
      <formula>AND(OR($D$7&lt;&gt;"",$D$9&lt;&gt;""),ISBLANK($Q$25))</formula>
    </cfRule>
  </conditionalFormatting>
  <conditionalFormatting sqref="Q28:R28">
    <cfRule type="expression" dxfId="160" priority="982">
      <formula>AND($D$73&lt;&gt;"",ISBLANK($Q$28))</formula>
    </cfRule>
  </conditionalFormatting>
  <conditionalFormatting sqref="Q75:R76">
    <cfRule type="expression" dxfId="159" priority="808">
      <formula>AND($C$57&lt;&gt;"",ISBLANK($Q$75))</formula>
    </cfRule>
  </conditionalFormatting>
  <conditionalFormatting sqref="R14:R21 K18:M21 M22 K23 K26:L28 M26:M29 S33:W35 AA33:AB35 AA39:AB53 W40:W53 W55 AB55 AB61:AB62 Y61:Y71 AB66:AB71">
    <cfRule type="expression" dxfId="158" priority="814">
      <formula>($G$13="USD")</formula>
    </cfRule>
    <cfRule type="expression" dxfId="157" priority="813">
      <formula>($G$13="EURO")</formula>
    </cfRule>
  </conditionalFormatting>
  <conditionalFormatting sqref="R28">
    <cfRule type="expression" dxfId="156" priority="1267">
      <formula>AND($Q$28="price",$G$13="EURO")</formula>
    </cfRule>
    <cfRule type="expression" dxfId="155" priority="809">
      <formula>AND($Q$28="PRICE",$G$13="NZD")</formula>
    </cfRule>
    <cfRule type="expression" dxfId="154" priority="810">
      <formula>AND($Q$28="price",$G$13="AUD")</formula>
    </cfRule>
    <cfRule type="expression" dxfId="153" priority="1268">
      <formula>AND($Q$28="price",$G$13="USD")</formula>
    </cfRule>
    <cfRule type="expression" dxfId="152" priority="1266">
      <formula>($Q$28="percent")</formula>
    </cfRule>
    <cfRule type="expression" dxfId="151" priority="777">
      <formula>($Q$28="N/A")</formula>
    </cfRule>
    <cfRule type="expression" dxfId="150" priority="748">
      <formula>AND(OR($Q$28="percent",$Q$28="price"),ISBLANK($R$28))</formula>
    </cfRule>
  </conditionalFormatting>
  <conditionalFormatting sqref="R33">
    <cfRule type="expression" dxfId="149" priority="54">
      <formula>AND($B$33&lt;&gt;"",ISBLANK($R$33))</formula>
    </cfRule>
  </conditionalFormatting>
  <conditionalFormatting sqref="R34">
    <cfRule type="expression" dxfId="148" priority="932">
      <formula>AND($B$34&lt;&gt;"",ISBLANK($R$34))</formula>
    </cfRule>
  </conditionalFormatting>
  <conditionalFormatting sqref="R35">
    <cfRule type="expression" dxfId="147" priority="918">
      <formula>AND($B$35&lt;&gt;"",ISBLANK($R$35))</formula>
    </cfRule>
  </conditionalFormatting>
  <conditionalFormatting sqref="R39">
    <cfRule type="expression" dxfId="146" priority="30">
      <formula>AND($B$39&lt;&gt;"",ISBLANK($R$39))</formula>
    </cfRule>
  </conditionalFormatting>
  <conditionalFormatting sqref="R40">
    <cfRule type="expression" dxfId="145" priority="16">
      <formula>AND($B$40&lt;&gt;"",ISBLANK($R$40))</formula>
    </cfRule>
  </conditionalFormatting>
  <conditionalFormatting sqref="R41">
    <cfRule type="expression" dxfId="144" priority="13">
      <formula>AND($B$41&lt;&gt;"",ISBLANK($R$41))</formula>
    </cfRule>
  </conditionalFormatting>
  <conditionalFormatting sqref="R42">
    <cfRule type="expression" dxfId="143" priority="188">
      <formula>AND($B$42&lt;&gt;"",ISBLANK($R$42))</formula>
    </cfRule>
  </conditionalFormatting>
  <conditionalFormatting sqref="R43">
    <cfRule type="expression" dxfId="142" priority="187">
      <formula>AND($B$43&lt;&gt;"",ISBLANK($R$43))</formula>
    </cfRule>
  </conditionalFormatting>
  <conditionalFormatting sqref="R44">
    <cfRule type="expression" dxfId="141" priority="186">
      <formula>AND($B$44&lt;&gt;"",ISBLANK($R$44))</formula>
    </cfRule>
  </conditionalFormatting>
  <conditionalFormatting sqref="R45">
    <cfRule type="expression" dxfId="140" priority="185">
      <formula>AND($B$45&lt;&gt;"",ISBLANK($R$45))</formula>
    </cfRule>
  </conditionalFormatting>
  <conditionalFormatting sqref="R46">
    <cfRule type="expression" dxfId="139" priority="184">
      <formula>AND($B$46&lt;&gt;"",ISBLANK($R$46))</formula>
    </cfRule>
  </conditionalFormatting>
  <conditionalFormatting sqref="R47">
    <cfRule type="expression" dxfId="138" priority="183">
      <formula>AND($B$47&lt;&gt;"",ISBLANK($R$47))</formula>
    </cfRule>
  </conditionalFormatting>
  <conditionalFormatting sqref="R48">
    <cfRule type="expression" dxfId="137" priority="182">
      <formula>AND($B$48&lt;&gt;"",ISBLANK($R$48))</formula>
    </cfRule>
  </conditionalFormatting>
  <conditionalFormatting sqref="R49">
    <cfRule type="expression" dxfId="136" priority="604">
      <formula>AND($B$49&lt;&gt;"",ISBLANK($R$49))</formula>
    </cfRule>
  </conditionalFormatting>
  <conditionalFormatting sqref="R50">
    <cfRule type="expression" dxfId="135" priority="582">
      <formula>AND($B$50&lt;&gt;"",ISBLANK($R$50))</formula>
    </cfRule>
  </conditionalFormatting>
  <conditionalFormatting sqref="R51">
    <cfRule type="expression" dxfId="134" priority="570">
      <formula>AND($B$51&lt;&gt;"",ISBLANK($R$51))</formula>
    </cfRule>
  </conditionalFormatting>
  <conditionalFormatting sqref="R52">
    <cfRule type="expression" dxfId="133" priority="593">
      <formula>AND($B$52&lt;&gt;"",ISBLANK($R$52))</formula>
    </cfRule>
  </conditionalFormatting>
  <conditionalFormatting sqref="R53">
    <cfRule type="expression" dxfId="132" priority="626">
      <formula>AND($B$53&lt;&gt;"",ISBLANK($R$53))</formula>
    </cfRule>
  </conditionalFormatting>
  <conditionalFormatting sqref="T46:U47 S53:V53 S39:S52">
    <cfRule type="expression" dxfId="36" priority="716">
      <formula>($G$13="EURO")</formula>
    </cfRule>
    <cfRule type="expression" dxfId="35" priority="715">
      <formula>($G$13="NZD")</formula>
    </cfRule>
    <cfRule type="expression" dxfId="34" priority="714">
      <formula>($G$13="AUD")</formula>
    </cfRule>
    <cfRule type="expression" dxfId="33" priority="717">
      <formula>($G$13="USD")</formula>
    </cfRule>
  </conditionalFormatting>
  <conditionalFormatting sqref="S43:S47 T46:U47">
    <cfRule type="expression" dxfId="131" priority="669">
      <formula>AND($B$43&lt;&gt;"",OR($S$43=0,ISBLANK($S$43)))</formula>
    </cfRule>
  </conditionalFormatting>
  <conditionalFormatting sqref="S33:U33">
    <cfRule type="expression" dxfId="130" priority="52">
      <formula>($G$13="USD")</formula>
    </cfRule>
    <cfRule type="expression" dxfId="129" priority="51">
      <formula>($G$13="EURO")</formula>
    </cfRule>
    <cfRule type="expression" dxfId="128" priority="50">
      <formula>($G$13="NZD")</formula>
    </cfRule>
    <cfRule type="expression" dxfId="127" priority="49">
      <formula>($G$13="AUD")</formula>
    </cfRule>
  </conditionalFormatting>
  <conditionalFormatting sqref="S39:U45">
    <cfRule type="expression" dxfId="32" priority="76">
      <formula>($G$13="USD")</formula>
    </cfRule>
    <cfRule type="expression" dxfId="31" priority="75">
      <formula>($G$13="EURO")</formula>
    </cfRule>
    <cfRule type="expression" dxfId="30" priority="74">
      <formula>($G$13="NZD")</formula>
    </cfRule>
    <cfRule type="expression" dxfId="29" priority="73">
      <formula>($G$13="AUD")</formula>
    </cfRule>
  </conditionalFormatting>
  <conditionalFormatting sqref="S39:U45">
    <cfRule type="expression" dxfId="28" priority="21">
      <formula>($G$13="USD")</formula>
    </cfRule>
    <cfRule type="expression" dxfId="27" priority="20">
      <formula>($G$13="EURO")</formula>
    </cfRule>
    <cfRule type="expression" dxfId="26" priority="19">
      <formula>($G$13="NZD")</formula>
    </cfRule>
    <cfRule type="expression" dxfId="25" priority="18">
      <formula>($G$13="AUD")</formula>
    </cfRule>
  </conditionalFormatting>
  <conditionalFormatting sqref="S39:U45">
    <cfRule type="expression" dxfId="24" priority="392">
      <formula>($G$13="USD")</formula>
    </cfRule>
    <cfRule type="expression" dxfId="23" priority="252">
      <formula>($G$13="NZD")</formula>
    </cfRule>
    <cfRule type="expression" dxfId="22" priority="391">
      <formula>($G$13="EURO")</formula>
    </cfRule>
    <cfRule type="expression" dxfId="21" priority="403">
      <formula>($G$13="AUD")</formula>
    </cfRule>
    <cfRule type="expression" dxfId="20" priority="404">
      <formula>($G$13="NZD")</formula>
    </cfRule>
    <cfRule type="expression" dxfId="19" priority="405">
      <formula>($G$13="EURO")</formula>
    </cfRule>
    <cfRule type="expression" dxfId="18" priority="406">
      <formula>($G$13="USD")</formula>
    </cfRule>
    <cfRule type="expression" dxfId="17" priority="156">
      <formula>($G$13="USD")</formula>
    </cfRule>
    <cfRule type="expression" dxfId="16" priority="253">
      <formula>($G$13="EURO")</formula>
    </cfRule>
    <cfRule type="expression" dxfId="15" priority="251">
      <formula>($G$13="AUD")</formula>
    </cfRule>
    <cfRule type="expression" dxfId="14" priority="155">
      <formula>($G$13="EURO")</formula>
    </cfRule>
    <cfRule type="expression" dxfId="13" priority="154">
      <formula>($G$13="NZD")</formula>
    </cfRule>
    <cfRule type="expression" dxfId="12" priority="389">
      <formula>($G$13="AUD")</formula>
    </cfRule>
    <cfRule type="expression" dxfId="11" priority="254">
      <formula>($G$13="USD")</formula>
    </cfRule>
    <cfRule type="expression" dxfId="10" priority="153">
      <formula>($G$13="AUD")</formula>
    </cfRule>
    <cfRule type="expression" dxfId="9" priority="390">
      <formula>($G$13="NZD")</formula>
    </cfRule>
  </conditionalFormatting>
  <conditionalFormatting sqref="S39:U48">
    <cfRule type="expression" dxfId="8" priority="174">
      <formula>($G$13="EURO")</formula>
    </cfRule>
    <cfRule type="expression" dxfId="7" priority="173">
      <formula>($G$13="NZD")</formula>
    </cfRule>
    <cfRule type="expression" dxfId="6" priority="172">
      <formula>($G$13="AUD")</formula>
    </cfRule>
    <cfRule type="expression" dxfId="5" priority="175">
      <formula>($G$13="USD")</formula>
    </cfRule>
  </conditionalFormatting>
  <conditionalFormatting sqref="S40:U41">
    <cfRule type="expression" dxfId="126" priority="10">
      <formula>($G$13="EURO")</formula>
    </cfRule>
    <cfRule type="expression" dxfId="125" priority="9">
      <formula>($G$13="NZD")</formula>
    </cfRule>
    <cfRule type="expression" dxfId="124" priority="11">
      <formula>($G$13="USD")</formula>
    </cfRule>
    <cfRule type="expression" dxfId="123" priority="8">
      <formula>($G$13="AUD")</formula>
    </cfRule>
  </conditionalFormatting>
  <conditionalFormatting sqref="S40:U44">
    <cfRule type="expression" dxfId="122" priority="7">
      <formula>AND($B$40&lt;&gt;"",OR($S$40=0,ISBLANK($S$40)))</formula>
    </cfRule>
  </conditionalFormatting>
  <conditionalFormatting sqref="S41:U43">
    <cfRule type="expression" dxfId="121" priority="6">
      <formula>AND($B$41&lt;&gt;"",OR($S$41=0,ISBLANK($S$41)))</formula>
    </cfRule>
  </conditionalFormatting>
  <conditionalFormatting sqref="S33:V33">
    <cfRule type="expression" dxfId="120" priority="53">
      <formula>AND($B$33&lt;&gt;"",OR($S$33=0,ISBLANK($S$33)))</formula>
    </cfRule>
  </conditionalFormatting>
  <conditionalFormatting sqref="S34:V34">
    <cfRule type="expression" dxfId="119" priority="930">
      <formula>AND($B$34&lt;&gt;"",OR($S$34=0,ISBLANK($S$34)))</formula>
    </cfRule>
  </conditionalFormatting>
  <conditionalFormatting sqref="S35:V35">
    <cfRule type="expression" dxfId="118" priority="916">
      <formula>AND($B$35&lt;&gt;"",OR($S$35=0,ISBLANK($S$35)))</formula>
    </cfRule>
  </conditionalFormatting>
  <conditionalFormatting sqref="S39:V39 S40:U45">
    <cfRule type="expression" dxfId="4" priority="22">
      <formula>AND($B$39&lt;&gt;"",OR($S$39=0,ISBLANK($S$39)))</formula>
    </cfRule>
  </conditionalFormatting>
  <conditionalFormatting sqref="S40:V47 S48">
    <cfRule type="expression" dxfId="117" priority="247">
      <formula>($G$13="NZD")</formula>
    </cfRule>
    <cfRule type="expression" dxfId="116" priority="246">
      <formula>($G$13="AUD")</formula>
    </cfRule>
    <cfRule type="expression" dxfId="115" priority="248">
      <formula>($G$13="EURO")</formula>
    </cfRule>
    <cfRule type="expression" dxfId="114" priority="249">
      <formula>($G$13="USD")</formula>
    </cfRule>
  </conditionalFormatting>
  <conditionalFormatting sqref="S42:V42">
    <cfRule type="expression" dxfId="113" priority="169">
      <formula>AND($B$42&lt;&gt;"",OR($S$42=0,ISBLANK($S$42)))</formula>
    </cfRule>
  </conditionalFormatting>
  <conditionalFormatting sqref="S43:V43">
    <cfRule type="expression" dxfId="112" priority="168">
      <formula>AND($B$43&lt;&gt;"",OR($S$43=0,ISBLANK($S$43)))</formula>
    </cfRule>
  </conditionalFormatting>
  <conditionalFormatting sqref="S44:V44">
    <cfRule type="expression" dxfId="111" priority="167">
      <formula>AND($B$44&lt;&gt;"",OR($S$44=0,ISBLANK($S$44)))</formula>
    </cfRule>
  </conditionalFormatting>
  <conditionalFormatting sqref="S45:V45">
    <cfRule type="expression" dxfId="110" priority="166">
      <formula>AND($B$45&lt;&gt;"",OR($S$45=0,ISBLANK($S$45)))</formula>
    </cfRule>
  </conditionalFormatting>
  <conditionalFormatting sqref="S46:V46">
    <cfRule type="expression" dxfId="109" priority="165">
      <formula>AND($B$46&lt;&gt;"",OR($S$46=0,ISBLANK($S$46)))</formula>
    </cfRule>
  </conditionalFormatting>
  <conditionalFormatting sqref="S47:V47">
    <cfRule type="expression" dxfId="108" priority="164">
      <formula>AND($B$47&lt;&gt;"",OR($S$47=0,ISBLANK($S$47)))</formula>
    </cfRule>
  </conditionalFormatting>
  <conditionalFormatting sqref="S48:V48">
    <cfRule type="expression" dxfId="107" priority="163">
      <formula>AND($B$48&lt;&gt;"",OR($S$48=0,ISBLANK($S$48)))</formula>
    </cfRule>
  </conditionalFormatting>
  <conditionalFormatting sqref="S49:V49">
    <cfRule type="expression" dxfId="106" priority="566">
      <formula>AND($B$49&lt;&gt;"",OR($S$49=0,ISBLANK($S$49)))</formula>
    </cfRule>
  </conditionalFormatting>
  <conditionalFormatting sqref="S50:V50">
    <cfRule type="expression" dxfId="105" priority="580">
      <formula>AND($B$50&lt;&gt;"",OR($S$50=0,ISBLANK($S$50)))</formula>
    </cfRule>
  </conditionalFormatting>
  <conditionalFormatting sqref="S51:V51">
    <cfRule type="expression" dxfId="104" priority="569">
      <formula>AND($B$51&lt;&gt;"",OR($S$51=0,ISBLANK($S$51)))</formula>
    </cfRule>
  </conditionalFormatting>
  <conditionalFormatting sqref="S52:V52">
    <cfRule type="expression" dxfId="103" priority="592">
      <formula>AND($B$52&lt;&gt;"",OR($S$52=0,ISBLANK($S$52)))</formula>
    </cfRule>
  </conditionalFormatting>
  <conditionalFormatting sqref="S53:V53">
    <cfRule type="expression" dxfId="102" priority="625">
      <formula>AND($B$53&lt;&gt;"",OR($S$53=0,ISBLANK($S$53)))</formula>
    </cfRule>
  </conditionalFormatting>
  <conditionalFormatting sqref="S39:W39 S40:U45">
    <cfRule type="expression" dxfId="3" priority="441">
      <formula>($G$13="AUD")</formula>
    </cfRule>
    <cfRule type="expression" dxfId="2" priority="442">
      <formula>($G$13="NZD")</formula>
    </cfRule>
    <cfRule type="expression" dxfId="1" priority="444">
      <formula>($G$13="USD")</formula>
    </cfRule>
    <cfRule type="expression" dxfId="0" priority="443">
      <formula>($G$13="EURO")</formula>
    </cfRule>
  </conditionalFormatting>
  <conditionalFormatting sqref="V40">
    <cfRule type="expression" dxfId="101" priority="692">
      <formula>AND($B$40&lt;&gt;"",OR($S$40=0,ISBLANK($S$40)))</formula>
    </cfRule>
  </conditionalFormatting>
  <conditionalFormatting sqref="V41">
    <cfRule type="expression" dxfId="100" priority="686">
      <formula>AND($B$41&lt;&gt;"",OR($S$41=0,ISBLANK($S$41)))</formula>
    </cfRule>
  </conditionalFormatting>
  <conditionalFormatting sqref="W33:W35 AB33:AB35 W39:W53 AB39:AB53 I55:J55 W55 AB55">
    <cfRule type="expression" dxfId="99" priority="956">
      <formula>OR($B$33="DIAMOND (LAB)",$B$34="DIAMOND (LAB)",$B$35="DIAMOND (LAB)",$B$39="DIAMOND (LAB)",$B$40="DIAMOND (LAB)",$B$41="DIAMOND (LAB)",$B$42="DIAMOND (LAB)",$B$43="DIAMOND (LAB)",$B$44="DIAMOND (LAB)",$B$45="DIAMOND (LAB)",$B$46="DIAMOND (LAB)",$B$47="DIAMOND (LAB)", $B$48="DIAMOND (LAB)", $B$49="DIAMOND (LAB)", $B$50="DIAMOND (LAB)", $B$51="DIAMOND (LAB)", $B$52="DIAMOND (LAB)", $B$53="DIAMOND (LAB)")</formula>
    </cfRule>
  </conditionalFormatting>
  <conditionalFormatting sqref="W61:X61">
    <cfRule type="expression" dxfId="98" priority="624">
      <formula>$W$61="Enter Labour Type Here"</formula>
    </cfRule>
  </conditionalFormatting>
  <conditionalFormatting sqref="W64:X64">
    <cfRule type="expression" dxfId="97" priority="623">
      <formula>$W$64="Enter Labour Type Here"</formula>
    </cfRule>
  </conditionalFormatting>
  <conditionalFormatting sqref="X45">
    <cfRule type="expression" dxfId="96" priority="145">
      <formula>AND($B$45&lt;&gt;"",ISBLANK($X$45))</formula>
    </cfRule>
  </conditionalFormatting>
  <conditionalFormatting sqref="X45:X47">
    <cfRule type="expression" dxfId="95" priority="135">
      <formula>AND($B$45&lt;&gt;"",ISBLANK($W$45))</formula>
    </cfRule>
  </conditionalFormatting>
  <conditionalFormatting sqref="X33:Z33">
    <cfRule type="expression" dxfId="94" priority="942">
      <formula>AND($B$33&lt;&gt;"",ISBLANK($X$33))</formula>
    </cfRule>
  </conditionalFormatting>
  <conditionalFormatting sqref="X34:Z34">
    <cfRule type="expression" dxfId="93" priority="929">
      <formula>AND($B$34&lt;&gt;"",ISBLANK($X$34))</formula>
    </cfRule>
  </conditionalFormatting>
  <conditionalFormatting sqref="X35:Z35">
    <cfRule type="expression" dxfId="92" priority="915">
      <formula>AND($B$35&lt;&gt;"",ISBLANK($X$35))</formula>
    </cfRule>
  </conditionalFormatting>
  <conditionalFormatting sqref="X39:Z47">
    <cfRule type="expression" dxfId="91" priority="151">
      <formula>AND($B$39&lt;&gt;"",ISBLANK($X$39))</formula>
    </cfRule>
  </conditionalFormatting>
  <conditionalFormatting sqref="X39:Z48">
    <cfRule type="expression" dxfId="90" priority="129">
      <formula>AND($B$48&lt;&gt;"",ISBLANK($W$48))</formula>
    </cfRule>
    <cfRule type="expression" dxfId="89" priority="130">
      <formula>AND($B$39&lt;&gt;"",ISBLANK($W$39))</formula>
    </cfRule>
  </conditionalFormatting>
  <conditionalFormatting sqref="X40:Z40">
    <cfRule type="expression" dxfId="88" priority="150">
      <formula>AND($B$40&lt;&gt;"",ISBLANK($X$40))</formula>
    </cfRule>
  </conditionalFormatting>
  <conditionalFormatting sqref="X40:Z47">
    <cfRule type="expression" dxfId="87" priority="140">
      <formula>AND($B$40&lt;&gt;"",ISBLANK($W$40))</formula>
    </cfRule>
  </conditionalFormatting>
  <conditionalFormatting sqref="X41:Z41">
    <cfRule type="expression" dxfId="86" priority="149">
      <formula>AND($B$41&lt;&gt;"",ISBLANK($X$41))</formula>
    </cfRule>
  </conditionalFormatting>
  <conditionalFormatting sqref="X41:Z43">
    <cfRule type="expression" dxfId="85" priority="139">
      <formula>AND($B$41&lt;&gt;"",ISBLANK($W$41))</formula>
    </cfRule>
  </conditionalFormatting>
  <conditionalFormatting sqref="X42:Z42">
    <cfRule type="expression" dxfId="84" priority="148">
      <formula>AND($B$42&lt;&gt;"",ISBLANK($X$42))</formula>
    </cfRule>
    <cfRule type="expression" dxfId="83" priority="138">
      <formula>AND($B$42&lt;&gt;"",ISBLANK($W$42))</formula>
    </cfRule>
  </conditionalFormatting>
  <conditionalFormatting sqref="X43:Z43">
    <cfRule type="expression" dxfId="82" priority="137">
      <formula>AND($B$43&lt;&gt;"",ISBLANK($W$43))</formula>
    </cfRule>
  </conditionalFormatting>
  <conditionalFormatting sqref="X43:Z45">
    <cfRule type="expression" dxfId="81" priority="147">
      <formula>AND($B$43&lt;&gt;"",ISBLANK($X$43))</formula>
    </cfRule>
  </conditionalFormatting>
  <conditionalFormatting sqref="X44:Z44">
    <cfRule type="expression" dxfId="80" priority="146">
      <formula>AND($B$44&lt;&gt;"",ISBLANK($X$44))</formula>
    </cfRule>
    <cfRule type="expression" dxfId="79" priority="136">
      <formula>AND($B$44&lt;&gt;"",ISBLANK($W$44))</formula>
    </cfRule>
  </conditionalFormatting>
  <conditionalFormatting sqref="X46:Z46">
    <cfRule type="expression" dxfId="78" priority="133">
      <formula>AND($B$46&lt;&gt;"",ISBLANK($W$46))</formula>
    </cfRule>
    <cfRule type="expression" dxfId="77" priority="144">
      <formula>AND($B$46&lt;&gt;"",ISBLANK($X$46))</formula>
    </cfRule>
  </conditionalFormatting>
  <conditionalFormatting sqref="X47:Z47">
    <cfRule type="expression" dxfId="76" priority="132">
      <formula>AND($B$47&lt;&gt;"",ISBLANK($W$47))</formula>
    </cfRule>
    <cfRule type="expression" dxfId="75" priority="143">
      <formula>AND($B$47&lt;&gt;"",ISBLANK($X$47))</formula>
    </cfRule>
  </conditionalFormatting>
  <conditionalFormatting sqref="X48:Z48">
    <cfRule type="expression" dxfId="74" priority="142">
      <formula>AND($B$48&lt;&gt;"",ISBLANK($X$48))</formula>
    </cfRule>
  </conditionalFormatting>
  <conditionalFormatting sqref="X49:Z49">
    <cfRule type="expression" dxfId="73" priority="602">
      <formula>AND($B$49&lt;&gt;"",ISBLANK($X$49))</formula>
    </cfRule>
  </conditionalFormatting>
  <conditionalFormatting sqref="X50:Z50">
    <cfRule type="expression" dxfId="72" priority="579">
      <formula>AND($B$50&lt;&gt;"",ISBLANK($X$50))</formula>
    </cfRule>
  </conditionalFormatting>
  <conditionalFormatting sqref="X51:Z51">
    <cfRule type="expression" dxfId="71" priority="568">
      <formula>AND($B$51&lt;&gt;"",ISBLANK($X$51))</formula>
    </cfRule>
  </conditionalFormatting>
  <conditionalFormatting sqref="X52:Z52">
    <cfRule type="expression" dxfId="70" priority="591">
      <formula>AND($B$52&lt;&gt;"",ISBLANK($X$52))</formula>
    </cfRule>
  </conditionalFormatting>
  <conditionalFormatting sqref="X53:Z53">
    <cfRule type="expression" dxfId="69" priority="816">
      <formula>AND($B$53&lt;&gt;"",ISBLANK($X$53))</formula>
    </cfRule>
  </conditionalFormatting>
  <conditionalFormatting sqref="Y61:Y62">
    <cfRule type="expression" dxfId="68" priority="103">
      <formula>($G$13="USD")</formula>
    </cfRule>
    <cfRule type="expression" dxfId="67" priority="102">
      <formula>($G$13="EURO")</formula>
    </cfRule>
    <cfRule type="expression" dxfId="66" priority="101">
      <formula>($G$13="NZD")</formula>
    </cfRule>
    <cfRule type="expression" dxfId="65" priority="100">
      <formula>($G$13="AUD")</formula>
    </cfRule>
  </conditionalFormatting>
  <conditionalFormatting sqref="AA33">
    <cfRule type="expression" dxfId="64" priority="941">
      <formula>AND($B$33&lt;&gt;"",OR($AA$33=0,ISBLANK($AA$33)))</formula>
    </cfRule>
  </conditionalFormatting>
  <conditionalFormatting sqref="AA34">
    <cfRule type="expression" dxfId="63" priority="927">
      <formula>AND($B$34&lt;&gt;"",OR($AA$34=0,ISBLANK($AA$34)))</formula>
    </cfRule>
  </conditionalFormatting>
  <conditionalFormatting sqref="AA35">
    <cfRule type="expression" dxfId="62" priority="914">
      <formula>AND($B$35&lt;&gt;"",OR($AA$35=0,ISBLANK($B$35)))</formula>
    </cfRule>
  </conditionalFormatting>
  <conditionalFormatting sqref="AA39:AA48">
    <cfRule type="expression" dxfId="61" priority="128">
      <formula>AND($B$39&lt;&gt;"",OR($AA$39=0,ISBLANK($AA$39)))</formula>
    </cfRule>
    <cfRule type="expression" dxfId="60" priority="127">
      <formula>($G$13="USD")</formula>
    </cfRule>
    <cfRule type="expression" dxfId="59" priority="126">
      <formula>($G$13="EURO")</formula>
    </cfRule>
    <cfRule type="expression" dxfId="58" priority="125">
      <formula>($G$13="NZD")</formula>
    </cfRule>
    <cfRule type="expression" dxfId="57" priority="124">
      <formula>($G$13="AUD")</formula>
    </cfRule>
  </conditionalFormatting>
  <conditionalFormatting sqref="AA40:AA47">
    <cfRule type="expression" dxfId="56" priority="890">
      <formula>AND($B$40&lt;&gt;"",OR($AA$40=0,ISBLANK($B$40)))</formula>
    </cfRule>
  </conditionalFormatting>
  <conditionalFormatting sqref="AA41">
    <cfRule type="expression" dxfId="55" priority="878">
      <formula>AND($B$41&lt;&gt;"",OR($AA$41=0,ISBLANK($AA$41)))</formula>
    </cfRule>
  </conditionalFormatting>
  <conditionalFormatting sqref="AA42">
    <cfRule type="expression" dxfId="54" priority="866">
      <formula>AND($B$42&lt;&gt;"",OR($AA$42=0,ISBLANK($AA$42)))</formula>
    </cfRule>
  </conditionalFormatting>
  <conditionalFormatting sqref="AA43">
    <cfRule type="expression" dxfId="53" priority="854">
      <formula>AND($B$43&lt;&gt;"",OR($AA$43=0,ISBLANK($AA$43)))</formula>
    </cfRule>
  </conditionalFormatting>
  <conditionalFormatting sqref="AA44">
    <cfRule type="expression" dxfId="52" priority="840">
      <formula>AND($B$44&lt;&gt;"",OR($AA$44=0,ISBLANK($AA$44)))</formula>
    </cfRule>
  </conditionalFormatting>
  <conditionalFormatting sqref="AA45">
    <cfRule type="expression" dxfId="51" priority="827">
      <formula>AND($B$45&lt;&gt;"",OR($AA$45=0,ISBLANK($AA$45)))</formula>
    </cfRule>
  </conditionalFormatting>
  <conditionalFormatting sqref="AA46">
    <cfRule type="expression" dxfId="50" priority="732">
      <formula>AND($B$46&lt;&gt;"",OR($AA$46=0,ISBLANK($AA$46)))</formula>
    </cfRule>
  </conditionalFormatting>
  <conditionalFormatting sqref="AA47">
    <cfRule type="expression" dxfId="49" priority="720">
      <formula>AND($B$47&lt;&gt;"",OR($AA$47=0,ISBLANK($AA$47)))</formula>
    </cfRule>
  </conditionalFormatting>
  <conditionalFormatting sqref="AA48">
    <cfRule type="expression" dxfId="48" priority="123">
      <formula>($G$13="USD")</formula>
    </cfRule>
    <cfRule type="expression" dxfId="47" priority="122">
      <formula>($G$13="EURO")</formula>
    </cfRule>
    <cfRule type="expression" dxfId="46" priority="120">
      <formula>($G$13="AUD")</formula>
    </cfRule>
    <cfRule type="expression" dxfId="45" priority="119">
      <formula>AND($B$48&lt;&gt;"",OR($AA$48=0,ISBLANK($AA$48)))</formula>
    </cfRule>
    <cfRule type="expression" dxfId="44" priority="121">
      <formula>($G$13="NZD")</formula>
    </cfRule>
  </conditionalFormatting>
  <conditionalFormatting sqref="AA49">
    <cfRule type="expression" dxfId="43" priority="565">
      <formula>AND($B$49&lt;&gt;"",OR($AA$49=0,ISBLANK($AA$49)))</formula>
    </cfRule>
  </conditionalFormatting>
  <conditionalFormatting sqref="AA50">
    <cfRule type="expression" dxfId="42" priority="578">
      <formula>AND($B$50&lt;&gt;"",OR($AA$50=0,ISBLANK($AA$50)))</formula>
    </cfRule>
  </conditionalFormatting>
  <conditionalFormatting sqref="AA51">
    <cfRule type="expression" dxfId="41" priority="567">
      <formula>AND($B$51&lt;&gt;"",OR($AA$51=0,ISBLANK($AA$51)))</formula>
    </cfRule>
  </conditionalFormatting>
  <conditionalFormatting sqref="AA52">
    <cfRule type="expression" dxfId="40" priority="590">
      <formula>AND($B$52&lt;&gt;"",OR($AA$52=0,ISBLANK($AA$52)))</formula>
    </cfRule>
  </conditionalFormatting>
  <conditionalFormatting sqref="AA53">
    <cfRule type="expression" dxfId="39" priority="815">
      <formula>AND($B$53&lt;&gt;"",OR($AA$53=0,ISBLANK($AA$53)))</formula>
    </cfRule>
  </conditionalFormatting>
  <conditionalFormatting sqref="AA39:AB53 Y61:Y71 S33:W35 R14:R21 K18:M21 M22 K23 K26:L28 M26:M29 AA33:AB35 W40:W53 W55 AB55 AB61:AB62 AB66:AB71">
    <cfRule type="expression" dxfId="38" priority="812">
      <formula>($G$13="NZD")</formula>
    </cfRule>
    <cfRule type="expression" dxfId="37" priority="811">
      <formula>($G$13="AUD")</formula>
    </cfRule>
  </conditionalFormatting>
  <dataValidations count="31">
    <dataValidation type="list" allowBlank="1" showInputMessage="1" showErrorMessage="1" sqref="AC42:AC54" xr:uid="{00000000-0002-0000-0000-000000000000}">
      <formula1>"Earrings, Pendants,Hoops,Studs,"</formula1>
    </dataValidation>
    <dataValidation type="list" allowBlank="1" showInputMessage="1" showErrorMessage="1" sqref="G13" xr:uid="{00000000-0002-0000-0000-000001000000}">
      <formula1>"USD,EUR,AUD,NZD"</formula1>
    </dataValidation>
    <dataValidation type="list" allowBlank="1" showInputMessage="1" showErrorMessage="1" sqref="H62" xr:uid="{00000000-0002-0000-0000-000002000000}">
      <formula1>"stud,hoop,drop,thread,sleeper"</formula1>
    </dataValidation>
    <dataValidation type="list" allowBlank="1" showInputMessage="1" showErrorMessage="1" sqref="H67" xr:uid="{00000000-0002-0000-0000-000003000000}">
      <formula1>"Curb,Belcher,Cable,Rolo,Singapore,Box,Snake,Herringbone,Fishbone,Anchor,Other"</formula1>
    </dataValidation>
    <dataValidation type="list" allowBlank="1" showInputMessage="1" showErrorMessage="1" sqref="D70:D71" xr:uid="{00000000-0002-0000-0000-000004000000}">
      <formula1>"None,1,2,3,4,5"</formula1>
    </dataValidation>
    <dataValidation type="list" allowBlank="1" showInputMessage="1" showErrorMessage="1" sqref="C57:D57" xr:uid="{00000000-0002-0000-0000-000005000000}">
      <formula1>"Ring,Earring,Bangle,Pendant,Chain,Bracelet_Anklet,Accessory"</formula1>
    </dataValidation>
    <dataValidation type="list" allowBlank="1" showInputMessage="1" showErrorMessage="1" sqref="K75" xr:uid="{00000000-0002-0000-0000-000006000000}">
      <formula1>CHAINSTYLE</formula1>
    </dataValidation>
    <dataValidation type="list" allowBlank="1" showInputMessage="1" showErrorMessage="1" sqref="N76 G75" xr:uid="{00000000-0002-0000-0000-000007000000}">
      <formula1>"Hollow,Solid"</formula1>
    </dataValidation>
    <dataValidation type="list" allowBlank="1" showInputMessage="1" showErrorMessage="1" sqref="K64" xr:uid="{00000000-0002-0000-0000-000008000000}">
      <formula1>"No chain,Satin Cord,Gold plated Silver,Silver,10ct chain,14ct chain,18ct chain"</formula1>
    </dataValidation>
    <dataValidation type="list" allowBlank="1" showInputMessage="1" showErrorMessage="1" sqref="K65" xr:uid="{00000000-0002-0000-0000-000009000000}">
      <formula1>"Cable,Curb,Rolo,Snake,Box,Other"</formula1>
    </dataValidation>
    <dataValidation type="list" allowBlank="1" showInputMessage="1" showErrorMessage="1" sqref="K68" xr:uid="{00000000-0002-0000-0000-00000A000000}">
      <formula1>"Cufflinks,Tie Slide,Other"</formula1>
    </dataValidation>
    <dataValidation type="list" allowBlank="1" showInputMessage="1" showErrorMessage="1" sqref="C26:D28 C18:D21" xr:uid="{00000000-0002-0000-0000-00000B000000}">
      <formula1>METAL</formula1>
    </dataValidation>
    <dataValidation type="list" allowBlank="1" showInputMessage="1" showErrorMessage="1" sqref="G62" xr:uid="{00000000-0002-0000-0000-00000C000000}">
      <formula1>EARSTYLE</formula1>
    </dataValidation>
    <dataValidation type="list" allowBlank="1" showInputMessage="1" showErrorMessage="1" sqref="Q25" xr:uid="{00000000-0002-0000-0000-00000D000000}">
      <formula1>"Fixed Unit Price,Fixed Weight,Variable Weight"</formula1>
    </dataValidation>
    <dataValidation type="list" allowBlank="1" showInputMessage="1" showErrorMessage="1" sqref="X33:Z35 Y39:Z46 X39:X53" xr:uid="{00000000-0002-0000-0000-00000E000000}">
      <formula1>SETTINGDESC</formula1>
    </dataValidation>
    <dataValidation type="list" allowBlank="1" showInputMessage="1" showErrorMessage="1" sqref="D39:D46 C33:D35 D53 C39:C53" xr:uid="{00000000-0002-0000-0000-00000F000000}">
      <formula1>STONESHAPE</formula1>
    </dataValidation>
    <dataValidation type="list" allowBlank="1" showInputMessage="1" showErrorMessage="1" sqref="M9:O9" xr:uid="{00000000-0002-0000-0000-000010000000}">
      <formula1>BUYER</formula1>
    </dataValidation>
    <dataValidation type="list" allowBlank="1" showInputMessage="1" showErrorMessage="1" sqref="B33:B35 B39:B53" xr:uid="{00000000-0002-0000-0000-000011000000}">
      <formula1>STONETYPE</formula1>
    </dataValidation>
    <dataValidation type="list" allowBlank="1" showInputMessage="1" showErrorMessage="1" sqref="G73 L15:M15" xr:uid="{00000000-0002-0000-0000-000012000000}">
      <formula1>"Yes,No"</formula1>
    </dataValidation>
    <dataValidation type="list" allowBlank="1" showInputMessage="1" showErrorMessage="1" sqref="I15:J15" xr:uid="{00000000-0002-0000-0000-000013000000}">
      <formula1>"Dollars,Grams,Units,None"</formula1>
    </dataValidation>
    <dataValidation type="list" allowBlank="1" showInputMessage="1" showErrorMessage="1" sqref="M11:R11" xr:uid="{00000000-0002-0000-0000-000014000000}">
      <formula1>IF(M11="See Full List",COO_LONG_LIST,COO_SHORT_LIST)</formula1>
    </dataValidation>
    <dataValidation type="list" allowBlank="1" showInputMessage="1" showErrorMessage="1" sqref="D73:D76 D67:D68" xr:uid="{00000000-0002-0000-0000-000015000000}">
      <formula1>Ring</formula1>
    </dataValidation>
    <dataValidation type="list" allowBlank="1" showInputMessage="1" showErrorMessage="1" sqref="Q28" xr:uid="{00000000-0002-0000-0000-000016000000}">
      <formula1>"percent,price,N/A"</formula1>
    </dataValidation>
    <dataValidation type="list" allowBlank="1" showInputMessage="1" showErrorMessage="1" sqref="E24:F24" xr:uid="{00000000-0002-0000-0000-000017000000}">
      <formula1>"Fixed,Variable"</formula1>
    </dataValidation>
    <dataValidation type="list" allowBlank="1" showInputMessage="1" showErrorMessage="1" sqref="Q75:R76" xr:uid="{00000000-0002-0000-0000-000018000000}">
      <formula1>CASTING</formula1>
    </dataValidation>
    <dataValidation type="list" allowBlank="1" showInputMessage="1" showErrorMessage="1" sqref="Y76" xr:uid="{00000000-0002-0000-0000-000019000000}">
      <formula1>S.O_COLOURS</formula1>
    </dataValidation>
    <dataValidation type="list" allowBlank="1" showInputMessage="1" showErrorMessage="1" sqref="Y75" xr:uid="{00000000-0002-0000-0000-00001A000000}">
      <formula1>INDIRECT(C57)</formula1>
    </dataValidation>
    <dataValidation type="list" allowBlank="1" showInputMessage="1" showErrorMessage="1" sqref="K74" xr:uid="{00000000-0002-0000-0000-00001B000000}">
      <formula1>INDIRECT($C$57)</formula1>
    </dataValidation>
    <dataValidation type="decimal" operator="greaterThan" allowBlank="1" showInputMessage="1" showErrorMessage="1" sqref="I26:J28" xr:uid="{00000000-0002-0000-0000-00001C000000}">
      <formula1>0.001</formula1>
    </dataValidation>
    <dataValidation type="whole" operator="greaterThanOrEqual" allowBlank="1" showInputMessage="1" showErrorMessage="1" sqref="I33:J35 J42:J47 J53 I42:I53 I39:J41" xr:uid="{00000000-0002-0000-0000-00001D000000}">
      <formula1>1</formula1>
    </dataValidation>
    <dataValidation type="decimal" operator="greaterThanOrEqual" allowBlank="1" showInputMessage="1" showErrorMessage="1" sqref="K33:L35 L42:L47 L53 K42:K53 K39:L41" xr:uid="{00000000-0002-0000-0000-00001E000000}">
      <formula1>0.000001</formula1>
    </dataValidation>
  </dataValidations>
  <printOptions horizontalCentered="1"/>
  <pageMargins left="0" right="0" top="0.39370078740157483" bottom="0.43307086614173229" header="0.35433070866141736" footer="0.27559055118110237"/>
  <pageSetup paperSize="9" scale="49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L253"/>
  <sheetViews>
    <sheetView workbookViewId="0">
      <selection activeCell="N7" sqref="N7"/>
    </sheetView>
  </sheetViews>
  <sheetFormatPr defaultRowHeight="13.2" x14ac:dyDescent="0.25"/>
  <cols>
    <col min="2" max="2" width="24.33203125" customWidth="1"/>
    <col min="3" max="3" width="2.44140625" customWidth="1"/>
    <col min="4" max="4" width="17.33203125" customWidth="1"/>
    <col min="5" max="5" width="2.5546875" customWidth="1"/>
    <col min="6" max="6" width="15.33203125" customWidth="1"/>
    <col min="7" max="7" width="2.33203125" customWidth="1"/>
    <col min="8" max="8" width="17.6640625" customWidth="1"/>
    <col min="9" max="9" width="2.33203125" customWidth="1"/>
    <col min="10" max="10" width="21.5546875" customWidth="1"/>
    <col min="11" max="11" width="2" customWidth="1"/>
    <col min="12" max="12" width="16.33203125" customWidth="1"/>
    <col min="13" max="13" width="1.6640625" customWidth="1"/>
    <col min="14" max="14" width="22" bestFit="1" customWidth="1"/>
    <col min="15" max="15" width="1.5546875" customWidth="1"/>
    <col min="16" max="16" width="14.6640625" customWidth="1"/>
    <col min="17" max="17" width="1.6640625" customWidth="1"/>
    <col min="18" max="18" width="28.6640625" customWidth="1"/>
    <col min="19" max="19" width="1.6640625" customWidth="1"/>
    <col min="20" max="20" width="36.5546875" bestFit="1" customWidth="1"/>
    <col min="21" max="21" width="2.33203125" customWidth="1"/>
    <col min="22" max="22" width="12.6640625" customWidth="1"/>
    <col min="23" max="23" width="2.33203125" customWidth="1"/>
    <col min="24" max="24" width="14" customWidth="1"/>
    <col min="25" max="25" width="2.6640625" customWidth="1"/>
    <col min="26" max="26" width="16.33203125" customWidth="1"/>
    <col min="27" max="27" width="2.44140625" customWidth="1"/>
    <col min="28" max="28" width="15" customWidth="1"/>
    <col min="29" max="29" width="1.5546875" customWidth="1"/>
    <col min="30" max="30" width="13.6640625" customWidth="1"/>
    <col min="31" max="31" width="1.5546875" customWidth="1"/>
    <col min="32" max="32" width="14.44140625" customWidth="1"/>
    <col min="33" max="33" width="1.44140625" customWidth="1"/>
    <col min="34" max="34" width="14.5546875" customWidth="1"/>
    <col min="35" max="35" width="2" customWidth="1"/>
    <col min="37" max="37" width="1.5546875" customWidth="1"/>
    <col min="38" max="38" width="12.6640625" customWidth="1"/>
  </cols>
  <sheetData>
    <row r="2" spans="2:38" x14ac:dyDescent="0.25">
      <c r="B2" s="36" t="s">
        <v>109</v>
      </c>
      <c r="D2" s="36" t="s">
        <v>113</v>
      </c>
      <c r="F2" s="36" t="s">
        <v>120</v>
      </c>
      <c r="H2" s="36" t="s">
        <v>131</v>
      </c>
      <c r="J2" s="36" t="s">
        <v>140</v>
      </c>
      <c r="L2" s="36" t="s">
        <v>147</v>
      </c>
      <c r="N2" s="36" t="s">
        <v>155</v>
      </c>
      <c r="P2" s="36" t="s">
        <v>163</v>
      </c>
      <c r="R2" s="36" t="s">
        <v>656</v>
      </c>
      <c r="T2" s="36" t="s">
        <v>655</v>
      </c>
      <c r="V2" s="36" t="s">
        <v>614</v>
      </c>
      <c r="X2" t="s">
        <v>527</v>
      </c>
      <c r="Z2" t="s">
        <v>592</v>
      </c>
      <c r="AB2" t="s">
        <v>613</v>
      </c>
      <c r="AD2" t="s">
        <v>611</v>
      </c>
      <c r="AF2" t="s">
        <v>615</v>
      </c>
      <c r="AH2" t="s">
        <v>616</v>
      </c>
      <c r="AJ2" t="s">
        <v>594</v>
      </c>
      <c r="AL2" t="s">
        <v>704</v>
      </c>
    </row>
    <row r="3" spans="2:38" ht="14.4" x14ac:dyDescent="0.3">
      <c r="B3" s="36" t="s">
        <v>20</v>
      </c>
      <c r="D3" s="36" t="s">
        <v>107</v>
      </c>
      <c r="F3" s="36" t="s">
        <v>121</v>
      </c>
      <c r="H3" s="36" t="s">
        <v>132</v>
      </c>
      <c r="J3" s="36" t="s">
        <v>141</v>
      </c>
      <c r="L3" s="36" t="s">
        <v>690</v>
      </c>
      <c r="N3" s="36" t="s">
        <v>709</v>
      </c>
      <c r="P3" s="36" t="s">
        <v>168</v>
      </c>
      <c r="R3" s="36" t="s">
        <v>658</v>
      </c>
      <c r="T3" s="50" t="s">
        <v>424</v>
      </c>
      <c r="V3" s="36" t="s">
        <v>158</v>
      </c>
      <c r="X3" t="s">
        <v>528</v>
      </c>
      <c r="Z3" t="s">
        <v>593</v>
      </c>
      <c r="AB3" s="36" t="s">
        <v>668</v>
      </c>
      <c r="AD3" t="s">
        <v>612</v>
      </c>
      <c r="AF3" t="s">
        <v>141</v>
      </c>
      <c r="AH3" t="s">
        <v>612</v>
      </c>
      <c r="AJ3" t="s">
        <v>633</v>
      </c>
      <c r="AL3" t="s">
        <v>617</v>
      </c>
    </row>
    <row r="4" spans="2:38" ht="14.4" x14ac:dyDescent="0.3">
      <c r="B4" s="36" t="s">
        <v>22</v>
      </c>
      <c r="D4" s="36" t="s">
        <v>100</v>
      </c>
      <c r="F4" s="36" t="s">
        <v>122</v>
      </c>
      <c r="H4" s="36" t="s">
        <v>133</v>
      </c>
      <c r="J4" s="36" t="s">
        <v>142</v>
      </c>
      <c r="L4" s="36" t="s">
        <v>161</v>
      </c>
      <c r="N4" s="36" t="s">
        <v>710</v>
      </c>
      <c r="P4" s="36" t="s">
        <v>465</v>
      </c>
      <c r="R4" s="36" t="s">
        <v>197</v>
      </c>
      <c r="T4" s="50" t="s">
        <v>185</v>
      </c>
      <c r="V4" s="36" t="s">
        <v>489</v>
      </c>
      <c r="X4" t="s">
        <v>529</v>
      </c>
      <c r="Z4" t="s">
        <v>563</v>
      </c>
      <c r="AB4" s="36" t="s">
        <v>667</v>
      </c>
      <c r="AF4" t="s">
        <v>633</v>
      </c>
      <c r="AJ4" t="s">
        <v>634</v>
      </c>
      <c r="AL4" t="s">
        <v>618</v>
      </c>
    </row>
    <row r="5" spans="2:38" ht="14.4" x14ac:dyDescent="0.3">
      <c r="B5" s="36" t="s">
        <v>23</v>
      </c>
      <c r="D5" s="36" t="s">
        <v>101</v>
      </c>
      <c r="F5" s="36" t="s">
        <v>123</v>
      </c>
      <c r="H5" s="36" t="s">
        <v>134</v>
      </c>
      <c r="J5" s="36" t="s">
        <v>143</v>
      </c>
      <c r="L5" s="36" t="s">
        <v>691</v>
      </c>
      <c r="N5" s="36" t="s">
        <v>711</v>
      </c>
      <c r="P5" s="36" t="s">
        <v>169</v>
      </c>
      <c r="R5" s="36" t="s">
        <v>222</v>
      </c>
      <c r="T5" s="50" t="s">
        <v>186</v>
      </c>
      <c r="V5" s="36" t="s">
        <v>436</v>
      </c>
      <c r="X5" t="s">
        <v>530</v>
      </c>
      <c r="Z5" t="s">
        <v>564</v>
      </c>
      <c r="AB5" s="36" t="s">
        <v>666</v>
      </c>
      <c r="AF5" t="s">
        <v>634</v>
      </c>
      <c r="AJ5" t="s">
        <v>635</v>
      </c>
      <c r="AL5" t="s">
        <v>619</v>
      </c>
    </row>
    <row r="6" spans="2:38" ht="14.4" x14ac:dyDescent="0.3">
      <c r="B6" s="36" t="s">
        <v>19</v>
      </c>
      <c r="D6" s="36" t="s">
        <v>114</v>
      </c>
      <c r="F6" s="36" t="s">
        <v>124</v>
      </c>
      <c r="H6" s="36" t="s">
        <v>135</v>
      </c>
      <c r="J6" s="36" t="s">
        <v>107</v>
      </c>
      <c r="L6" s="36" t="s">
        <v>692</v>
      </c>
      <c r="N6" s="36" t="s">
        <v>712</v>
      </c>
      <c r="P6" s="36" t="s">
        <v>164</v>
      </c>
      <c r="R6" s="36" t="s">
        <v>432</v>
      </c>
      <c r="T6" s="50" t="s">
        <v>187</v>
      </c>
      <c r="V6" s="36" t="s">
        <v>490</v>
      </c>
      <c r="X6" t="s">
        <v>531</v>
      </c>
      <c r="Z6" t="s">
        <v>565</v>
      </c>
      <c r="AB6" s="36" t="s">
        <v>665</v>
      </c>
      <c r="AF6" t="s">
        <v>635</v>
      </c>
      <c r="AJ6" t="s">
        <v>636</v>
      </c>
      <c r="AL6" t="s">
        <v>620</v>
      </c>
    </row>
    <row r="7" spans="2:38" ht="14.4" x14ac:dyDescent="0.3">
      <c r="B7" s="36" t="s">
        <v>24</v>
      </c>
      <c r="D7" s="36" t="s">
        <v>104</v>
      </c>
      <c r="F7" s="36" t="s">
        <v>125</v>
      </c>
      <c r="H7" s="36" t="s">
        <v>136</v>
      </c>
      <c r="J7" s="36" t="s">
        <v>144</v>
      </c>
      <c r="L7" s="36" t="s">
        <v>150</v>
      </c>
      <c r="N7" s="36"/>
      <c r="P7" s="36" t="s">
        <v>466</v>
      </c>
      <c r="R7" s="36" t="s">
        <v>228</v>
      </c>
      <c r="T7" s="50" t="s">
        <v>188</v>
      </c>
      <c r="V7" s="36" t="s">
        <v>437</v>
      </c>
      <c r="X7" t="s">
        <v>532</v>
      </c>
      <c r="Z7" t="s">
        <v>566</v>
      </c>
      <c r="AB7" s="36" t="s">
        <v>664</v>
      </c>
      <c r="AF7" t="s">
        <v>636</v>
      </c>
      <c r="AJ7" t="s">
        <v>637</v>
      </c>
      <c r="AL7" t="s">
        <v>621</v>
      </c>
    </row>
    <row r="8" spans="2:38" ht="14.4" x14ac:dyDescent="0.3">
      <c r="B8" s="36" t="s">
        <v>21</v>
      </c>
      <c r="D8" s="36" t="s">
        <v>103</v>
      </c>
      <c r="F8" s="36" t="s">
        <v>701</v>
      </c>
      <c r="H8" s="36" t="s">
        <v>137</v>
      </c>
      <c r="J8" s="36" t="s">
        <v>145</v>
      </c>
      <c r="L8" s="36" t="s">
        <v>151</v>
      </c>
      <c r="N8" s="36"/>
      <c r="P8" s="36" t="s">
        <v>460</v>
      </c>
      <c r="R8" s="36" t="s">
        <v>435</v>
      </c>
      <c r="T8" s="50" t="s">
        <v>189</v>
      </c>
      <c r="V8" s="36" t="s">
        <v>491</v>
      </c>
      <c r="X8" t="s">
        <v>533</v>
      </c>
      <c r="Z8" t="s">
        <v>102</v>
      </c>
      <c r="AB8" s="36" t="s">
        <v>663</v>
      </c>
      <c r="AF8" t="s">
        <v>637</v>
      </c>
      <c r="AJ8" t="s">
        <v>638</v>
      </c>
      <c r="AL8" t="s">
        <v>622</v>
      </c>
    </row>
    <row r="9" spans="2:38" ht="14.4" x14ac:dyDescent="0.3">
      <c r="B9" s="36" t="s">
        <v>17</v>
      </c>
      <c r="D9" s="36" t="s">
        <v>115</v>
      </c>
      <c r="F9" s="36" t="s">
        <v>126</v>
      </c>
      <c r="H9" s="36" t="s">
        <v>138</v>
      </c>
      <c r="J9" s="36" t="s">
        <v>146</v>
      </c>
      <c r="L9" s="36" t="s">
        <v>693</v>
      </c>
      <c r="P9" s="36" t="s">
        <v>459</v>
      </c>
      <c r="R9" s="36" t="s">
        <v>280</v>
      </c>
      <c r="T9" s="50" t="s">
        <v>190</v>
      </c>
      <c r="V9" s="36" t="s">
        <v>157</v>
      </c>
      <c r="X9" t="s">
        <v>534</v>
      </c>
      <c r="Z9" t="s">
        <v>567</v>
      </c>
      <c r="AB9" s="36" t="s">
        <v>662</v>
      </c>
      <c r="AF9" t="s">
        <v>638</v>
      </c>
      <c r="AJ9" t="s">
        <v>639</v>
      </c>
      <c r="AL9" t="s">
        <v>623</v>
      </c>
    </row>
    <row r="10" spans="2:38" ht="14.4" x14ac:dyDescent="0.3">
      <c r="B10" s="36" t="s">
        <v>34</v>
      </c>
      <c r="D10" s="36" t="s">
        <v>116</v>
      </c>
      <c r="F10" s="36" t="s">
        <v>127</v>
      </c>
      <c r="H10" s="36" t="s">
        <v>139</v>
      </c>
      <c r="L10" s="36" t="s">
        <v>152</v>
      </c>
      <c r="P10" s="36" t="s">
        <v>469</v>
      </c>
      <c r="R10" s="36" t="s">
        <v>283</v>
      </c>
      <c r="T10" s="50" t="s">
        <v>191</v>
      </c>
      <c r="V10" s="36" t="s">
        <v>492</v>
      </c>
      <c r="X10" t="s">
        <v>535</v>
      </c>
      <c r="Z10" t="s">
        <v>568</v>
      </c>
      <c r="AB10" s="36" t="s">
        <v>661</v>
      </c>
      <c r="AF10" t="s">
        <v>639</v>
      </c>
      <c r="AJ10" t="s">
        <v>640</v>
      </c>
      <c r="AL10" t="s">
        <v>624</v>
      </c>
    </row>
    <row r="11" spans="2:38" ht="14.4" x14ac:dyDescent="0.3">
      <c r="B11" s="36" t="s">
        <v>33</v>
      </c>
      <c r="D11" s="36" t="s">
        <v>105</v>
      </c>
      <c r="F11" s="36" t="s">
        <v>703</v>
      </c>
      <c r="L11" s="36" t="s">
        <v>148</v>
      </c>
      <c r="P11" s="36" t="s">
        <v>467</v>
      </c>
      <c r="R11" s="36" t="s">
        <v>284</v>
      </c>
      <c r="T11" s="50" t="s">
        <v>192</v>
      </c>
      <c r="V11" s="36" t="s">
        <v>438</v>
      </c>
      <c r="X11" t="s">
        <v>536</v>
      </c>
      <c r="Z11" t="s">
        <v>569</v>
      </c>
      <c r="AB11" s="36" t="s">
        <v>660</v>
      </c>
      <c r="AF11" t="s">
        <v>640</v>
      </c>
      <c r="AJ11" t="s">
        <v>641</v>
      </c>
      <c r="AL11" t="s">
        <v>625</v>
      </c>
    </row>
    <row r="12" spans="2:38" ht="14.4" x14ac:dyDescent="0.3">
      <c r="B12" s="36" t="s">
        <v>18</v>
      </c>
      <c r="D12" s="36" t="s">
        <v>117</v>
      </c>
      <c r="F12" s="36" t="s">
        <v>128</v>
      </c>
      <c r="L12" s="36" t="s">
        <v>108</v>
      </c>
      <c r="P12" s="36" t="s">
        <v>167</v>
      </c>
      <c r="R12" s="36" t="s">
        <v>289</v>
      </c>
      <c r="T12" s="50" t="s">
        <v>193</v>
      </c>
      <c r="V12" s="36" t="s">
        <v>493</v>
      </c>
      <c r="X12" t="s">
        <v>537</v>
      </c>
      <c r="Z12" t="s">
        <v>570</v>
      </c>
      <c r="AB12" s="36" t="s">
        <v>659</v>
      </c>
      <c r="AF12" t="s">
        <v>641</v>
      </c>
      <c r="AJ12" t="s">
        <v>642</v>
      </c>
      <c r="AL12" t="s">
        <v>626</v>
      </c>
    </row>
    <row r="13" spans="2:38" ht="14.4" x14ac:dyDescent="0.3">
      <c r="B13" s="36" t="s">
        <v>25</v>
      </c>
      <c r="D13" s="36" t="s">
        <v>118</v>
      </c>
      <c r="F13" s="36" t="s">
        <v>129</v>
      </c>
      <c r="L13" s="36" t="s">
        <v>149</v>
      </c>
      <c r="P13" s="36" t="s">
        <v>468</v>
      </c>
      <c r="R13" s="36" t="s">
        <v>291</v>
      </c>
      <c r="T13" s="50" t="s">
        <v>194</v>
      </c>
      <c r="V13" s="36" t="s">
        <v>159</v>
      </c>
      <c r="X13" t="s">
        <v>538</v>
      </c>
      <c r="Z13" t="s">
        <v>571</v>
      </c>
      <c r="AB13" t="s">
        <v>595</v>
      </c>
      <c r="AF13" t="s">
        <v>642</v>
      </c>
      <c r="AJ13" t="s">
        <v>643</v>
      </c>
      <c r="AL13" t="s">
        <v>627</v>
      </c>
    </row>
    <row r="14" spans="2:38" ht="14.4" x14ac:dyDescent="0.3">
      <c r="B14" s="36" t="s">
        <v>26</v>
      </c>
      <c r="D14" s="36" t="s">
        <v>106</v>
      </c>
      <c r="F14" s="36" t="s">
        <v>705</v>
      </c>
      <c r="L14" s="36" t="s">
        <v>694</v>
      </c>
      <c r="P14" s="36" t="s">
        <v>165</v>
      </c>
      <c r="R14" s="36" t="s">
        <v>322</v>
      </c>
      <c r="T14" s="50" t="s">
        <v>195</v>
      </c>
      <c r="V14" s="36" t="s">
        <v>494</v>
      </c>
      <c r="X14" t="s">
        <v>539</v>
      </c>
      <c r="Z14" t="s">
        <v>572</v>
      </c>
      <c r="AB14" t="s">
        <v>596</v>
      </c>
      <c r="AF14" t="s">
        <v>643</v>
      </c>
      <c r="AJ14" t="s">
        <v>644</v>
      </c>
      <c r="AL14" t="s">
        <v>628</v>
      </c>
    </row>
    <row r="15" spans="2:38" ht="14.4" x14ac:dyDescent="0.3">
      <c r="B15" s="36" t="s">
        <v>27</v>
      </c>
      <c r="D15" s="36" t="s">
        <v>119</v>
      </c>
      <c r="F15" s="36" t="s">
        <v>130</v>
      </c>
      <c r="L15" s="36" t="s">
        <v>695</v>
      </c>
      <c r="P15" s="36" t="s">
        <v>470</v>
      </c>
      <c r="R15" s="36" t="s">
        <v>337</v>
      </c>
      <c r="T15" s="50" t="s">
        <v>196</v>
      </c>
      <c r="V15" s="36" t="s">
        <v>439</v>
      </c>
      <c r="X15" t="s">
        <v>540</v>
      </c>
      <c r="Z15" t="s">
        <v>573</v>
      </c>
      <c r="AB15" t="s">
        <v>597</v>
      </c>
      <c r="AF15" t="s">
        <v>644</v>
      </c>
      <c r="AJ15" t="s">
        <v>645</v>
      </c>
      <c r="AL15" t="s">
        <v>629</v>
      </c>
    </row>
    <row r="16" spans="2:38" ht="14.4" x14ac:dyDescent="0.3">
      <c r="B16" s="36" t="s">
        <v>28</v>
      </c>
      <c r="D16" s="36" t="s">
        <v>102</v>
      </c>
      <c r="L16" s="36" t="s">
        <v>696</v>
      </c>
      <c r="P16" s="36" t="s">
        <v>471</v>
      </c>
      <c r="R16" s="36" t="s">
        <v>430</v>
      </c>
      <c r="T16" s="50" t="s">
        <v>197</v>
      </c>
      <c r="V16" s="36" t="s">
        <v>495</v>
      </c>
      <c r="X16" t="s">
        <v>541</v>
      </c>
      <c r="Z16" t="s">
        <v>574</v>
      </c>
      <c r="AB16" t="s">
        <v>598</v>
      </c>
      <c r="AF16" t="s">
        <v>645</v>
      </c>
      <c r="AJ16" t="s">
        <v>646</v>
      </c>
      <c r="AL16" t="s">
        <v>630</v>
      </c>
    </row>
    <row r="17" spans="2:38" ht="14.4" x14ac:dyDescent="0.3">
      <c r="B17" s="36" t="s">
        <v>29</v>
      </c>
      <c r="L17" s="36" t="s">
        <v>697</v>
      </c>
      <c r="P17" s="36" t="s">
        <v>173</v>
      </c>
      <c r="R17" s="36" t="s">
        <v>376</v>
      </c>
      <c r="T17" s="50" t="s">
        <v>429</v>
      </c>
      <c r="V17" s="36" t="s">
        <v>160</v>
      </c>
      <c r="X17" t="s">
        <v>542</v>
      </c>
      <c r="Z17" t="s">
        <v>575</v>
      </c>
      <c r="AB17" t="s">
        <v>599</v>
      </c>
      <c r="AF17" t="s">
        <v>646</v>
      </c>
      <c r="AJ17" t="s">
        <v>647</v>
      </c>
      <c r="AL17" t="s">
        <v>631</v>
      </c>
    </row>
    <row r="18" spans="2:38" ht="14.4" x14ac:dyDescent="0.3">
      <c r="B18" s="36" t="s">
        <v>30</v>
      </c>
      <c r="P18" s="36" t="s">
        <v>472</v>
      </c>
      <c r="R18" s="36" t="s">
        <v>381</v>
      </c>
      <c r="T18" s="50" t="s">
        <v>198</v>
      </c>
      <c r="V18" s="36" t="s">
        <v>496</v>
      </c>
      <c r="X18" t="s">
        <v>543</v>
      </c>
      <c r="Z18" t="s">
        <v>576</v>
      </c>
      <c r="AB18" t="s">
        <v>600</v>
      </c>
      <c r="AF18" t="s">
        <v>647</v>
      </c>
      <c r="AJ18" t="s">
        <v>648</v>
      </c>
      <c r="AL18" t="s">
        <v>632</v>
      </c>
    </row>
    <row r="19" spans="2:38" ht="14.4" x14ac:dyDescent="0.3">
      <c r="B19" s="36" t="s">
        <v>31</v>
      </c>
      <c r="P19" s="36" t="s">
        <v>473</v>
      </c>
      <c r="R19" s="36" t="s">
        <v>395</v>
      </c>
      <c r="T19" s="50" t="s">
        <v>199</v>
      </c>
      <c r="V19" s="36" t="s">
        <v>154</v>
      </c>
      <c r="X19" t="s">
        <v>544</v>
      </c>
      <c r="Z19" t="s">
        <v>107</v>
      </c>
      <c r="AB19" t="s">
        <v>601</v>
      </c>
      <c r="AF19" t="s">
        <v>648</v>
      </c>
      <c r="AJ19" t="s">
        <v>649</v>
      </c>
    </row>
    <row r="20" spans="2:38" ht="14.4" x14ac:dyDescent="0.3">
      <c r="B20" s="36" t="s">
        <v>32</v>
      </c>
      <c r="P20" s="36" t="s">
        <v>475</v>
      </c>
      <c r="R20" s="36" t="s">
        <v>433</v>
      </c>
      <c r="T20" s="50" t="s">
        <v>200</v>
      </c>
      <c r="V20" s="36" t="s">
        <v>497</v>
      </c>
      <c r="X20" t="s">
        <v>545</v>
      </c>
      <c r="Z20" t="s">
        <v>577</v>
      </c>
      <c r="AB20" t="s">
        <v>602</v>
      </c>
      <c r="AF20" t="s">
        <v>649</v>
      </c>
      <c r="AJ20" s="36" t="s">
        <v>650</v>
      </c>
    </row>
    <row r="21" spans="2:38" ht="14.4" x14ac:dyDescent="0.3">
      <c r="B21" s="36" t="s">
        <v>110</v>
      </c>
      <c r="P21" s="36" t="s">
        <v>474</v>
      </c>
      <c r="R21" s="36" t="s">
        <v>657</v>
      </c>
      <c r="T21" s="50" t="s">
        <v>201</v>
      </c>
      <c r="V21" s="36" t="s">
        <v>440</v>
      </c>
      <c r="X21" t="s">
        <v>546</v>
      </c>
      <c r="Z21" t="s">
        <v>578</v>
      </c>
      <c r="AB21" t="s">
        <v>603</v>
      </c>
      <c r="AF21" s="36" t="s">
        <v>650</v>
      </c>
      <c r="AJ21" s="36" t="s">
        <v>651</v>
      </c>
    </row>
    <row r="22" spans="2:38" ht="14.4" x14ac:dyDescent="0.3">
      <c r="B22" s="36" t="s">
        <v>111</v>
      </c>
      <c r="P22" s="36" t="s">
        <v>477</v>
      </c>
      <c r="T22" s="50" t="s">
        <v>202</v>
      </c>
      <c r="V22" s="36" t="s">
        <v>498</v>
      </c>
      <c r="X22" t="s">
        <v>547</v>
      </c>
      <c r="Z22" t="s">
        <v>579</v>
      </c>
      <c r="AB22" t="s">
        <v>604</v>
      </c>
      <c r="AF22" s="36" t="s">
        <v>651</v>
      </c>
      <c r="AJ22" s="36" t="s">
        <v>652</v>
      </c>
    </row>
    <row r="23" spans="2:38" ht="14.4" x14ac:dyDescent="0.3">
      <c r="B23" s="36" t="s">
        <v>112</v>
      </c>
      <c r="P23" s="36" t="s">
        <v>476</v>
      </c>
      <c r="T23" s="50" t="s">
        <v>203</v>
      </c>
      <c r="V23" s="36" t="s">
        <v>441</v>
      </c>
      <c r="X23" t="s">
        <v>548</v>
      </c>
      <c r="Z23" t="s">
        <v>580</v>
      </c>
      <c r="AB23" t="s">
        <v>605</v>
      </c>
      <c r="AF23" s="36" t="s">
        <v>652</v>
      </c>
      <c r="AJ23" s="36" t="s">
        <v>653</v>
      </c>
    </row>
    <row r="24" spans="2:38" ht="14.4" x14ac:dyDescent="0.3">
      <c r="P24" s="36" t="s">
        <v>478</v>
      </c>
      <c r="T24" s="50" t="s">
        <v>204</v>
      </c>
      <c r="V24" s="36" t="s">
        <v>499</v>
      </c>
      <c r="X24" t="s">
        <v>549</v>
      </c>
      <c r="Z24" t="s">
        <v>581</v>
      </c>
      <c r="AB24" t="s">
        <v>606</v>
      </c>
      <c r="AF24" s="36" t="s">
        <v>653</v>
      </c>
      <c r="AJ24" s="36" t="s">
        <v>654</v>
      </c>
    </row>
    <row r="25" spans="2:38" ht="14.4" x14ac:dyDescent="0.3">
      <c r="P25" s="36" t="s">
        <v>170</v>
      </c>
      <c r="T25" s="50" t="s">
        <v>205</v>
      </c>
      <c r="V25" s="36" t="s">
        <v>442</v>
      </c>
      <c r="X25" t="s">
        <v>550</v>
      </c>
      <c r="Z25" t="s">
        <v>582</v>
      </c>
      <c r="AB25" t="s">
        <v>607</v>
      </c>
      <c r="AF25" s="36" t="s">
        <v>654</v>
      </c>
      <c r="AJ25" s="36" t="s">
        <v>669</v>
      </c>
    </row>
    <row r="26" spans="2:38" ht="14.4" x14ac:dyDescent="0.3">
      <c r="B26" s="36"/>
      <c r="P26" s="36" t="s">
        <v>479</v>
      </c>
      <c r="T26" s="50" t="s">
        <v>206</v>
      </c>
      <c r="V26" s="36" t="s">
        <v>500</v>
      </c>
      <c r="X26" t="s">
        <v>551</v>
      </c>
      <c r="Z26" t="s">
        <v>583</v>
      </c>
      <c r="AB26" t="s">
        <v>608</v>
      </c>
      <c r="AF26" s="36" t="s">
        <v>669</v>
      </c>
      <c r="AJ26" s="36" t="s">
        <v>670</v>
      </c>
    </row>
    <row r="27" spans="2:38" ht="14.4" x14ac:dyDescent="0.3">
      <c r="P27" s="36" t="s">
        <v>166</v>
      </c>
      <c r="T27" s="50" t="s">
        <v>207</v>
      </c>
      <c r="V27" s="36" t="s">
        <v>443</v>
      </c>
      <c r="X27" t="s">
        <v>552</v>
      </c>
      <c r="Z27" t="s">
        <v>584</v>
      </c>
      <c r="AB27" t="s">
        <v>609</v>
      </c>
      <c r="AF27" s="36" t="s">
        <v>670</v>
      </c>
      <c r="AJ27" s="36" t="s">
        <v>671</v>
      </c>
    </row>
    <row r="28" spans="2:38" ht="14.4" x14ac:dyDescent="0.3">
      <c r="P28" s="36" t="s">
        <v>172</v>
      </c>
      <c r="T28" s="50" t="s">
        <v>208</v>
      </c>
      <c r="V28" s="36" t="s">
        <v>501</v>
      </c>
      <c r="X28" t="s">
        <v>553</v>
      </c>
      <c r="Z28" t="s">
        <v>585</v>
      </c>
      <c r="AB28" t="s">
        <v>610</v>
      </c>
      <c r="AF28" s="36" t="s">
        <v>671</v>
      </c>
      <c r="AJ28" s="36" t="s">
        <v>672</v>
      </c>
    </row>
    <row r="29" spans="2:38" ht="14.4" x14ac:dyDescent="0.3">
      <c r="P29" s="36" t="s">
        <v>171</v>
      </c>
      <c r="T29" s="50" t="s">
        <v>209</v>
      </c>
      <c r="V29" s="36" t="s">
        <v>444</v>
      </c>
      <c r="X29" t="s">
        <v>554</v>
      </c>
      <c r="Z29" t="s">
        <v>586</v>
      </c>
      <c r="AF29" s="36" t="s">
        <v>672</v>
      </c>
      <c r="AJ29" s="36" t="s">
        <v>673</v>
      </c>
    </row>
    <row r="30" spans="2:38" ht="14.4" x14ac:dyDescent="0.3">
      <c r="P30" s="36" t="s">
        <v>174</v>
      </c>
      <c r="T30" s="50" t="s">
        <v>210</v>
      </c>
      <c r="V30" s="36" t="s">
        <v>502</v>
      </c>
      <c r="X30" t="s">
        <v>555</v>
      </c>
      <c r="Z30" t="s">
        <v>587</v>
      </c>
      <c r="AF30" s="36" t="s">
        <v>673</v>
      </c>
      <c r="AJ30" s="36" t="s">
        <v>674</v>
      </c>
    </row>
    <row r="31" spans="2:38" ht="14.4" x14ac:dyDescent="0.3">
      <c r="T31" s="50" t="s">
        <v>211</v>
      </c>
      <c r="V31" s="36" t="s">
        <v>175</v>
      </c>
      <c r="X31" t="s">
        <v>556</v>
      </c>
      <c r="Z31" t="s">
        <v>588</v>
      </c>
      <c r="AF31" s="36" t="s">
        <v>674</v>
      </c>
      <c r="AJ31" s="36" t="s">
        <v>675</v>
      </c>
    </row>
    <row r="32" spans="2:38" ht="14.4" x14ac:dyDescent="0.3">
      <c r="T32" s="50" t="s">
        <v>212</v>
      </c>
      <c r="V32" s="36" t="s">
        <v>503</v>
      </c>
      <c r="X32" t="s">
        <v>557</v>
      </c>
      <c r="Z32" t="s">
        <v>589</v>
      </c>
      <c r="AF32" s="36" t="s">
        <v>675</v>
      </c>
      <c r="AJ32" s="36" t="s">
        <v>676</v>
      </c>
    </row>
    <row r="33" spans="20:36" ht="14.4" x14ac:dyDescent="0.3">
      <c r="T33" s="50" t="s">
        <v>213</v>
      </c>
      <c r="V33" s="36" t="s">
        <v>156</v>
      </c>
      <c r="X33" t="s">
        <v>558</v>
      </c>
      <c r="Z33" t="s">
        <v>590</v>
      </c>
      <c r="AF33" s="36" t="s">
        <v>676</v>
      </c>
      <c r="AJ33" s="36" t="s">
        <v>677</v>
      </c>
    </row>
    <row r="34" spans="20:36" ht="14.4" x14ac:dyDescent="0.3">
      <c r="T34" s="50" t="s">
        <v>214</v>
      </c>
      <c r="V34" s="36" t="s">
        <v>504</v>
      </c>
      <c r="X34" t="s">
        <v>559</v>
      </c>
      <c r="Z34" t="s">
        <v>591</v>
      </c>
      <c r="AF34" s="36" t="s">
        <v>677</v>
      </c>
      <c r="AJ34" s="36" t="s">
        <v>678</v>
      </c>
    </row>
    <row r="35" spans="20:36" ht="14.4" x14ac:dyDescent="0.3">
      <c r="T35" s="50" t="s">
        <v>215</v>
      </c>
      <c r="V35" s="36" t="s">
        <v>445</v>
      </c>
      <c r="X35" t="s">
        <v>560</v>
      </c>
      <c r="AF35" s="36" t="s">
        <v>678</v>
      </c>
      <c r="AJ35" s="36" t="s">
        <v>679</v>
      </c>
    </row>
    <row r="36" spans="20:36" ht="14.4" x14ac:dyDescent="0.3">
      <c r="T36" s="50" t="s">
        <v>216</v>
      </c>
      <c r="V36" s="36" t="s">
        <v>505</v>
      </c>
      <c r="X36" t="s">
        <v>561</v>
      </c>
      <c r="AF36" s="36" t="s">
        <v>679</v>
      </c>
      <c r="AJ36" s="36" t="s">
        <v>680</v>
      </c>
    </row>
    <row r="37" spans="20:36" ht="14.4" x14ac:dyDescent="0.3">
      <c r="T37" s="50" t="s">
        <v>217</v>
      </c>
      <c r="V37" s="36" t="s">
        <v>162</v>
      </c>
      <c r="X37" t="s">
        <v>562</v>
      </c>
      <c r="AF37" s="36" t="s">
        <v>680</v>
      </c>
      <c r="AJ37" s="36" t="s">
        <v>681</v>
      </c>
    </row>
    <row r="38" spans="20:36" ht="14.4" x14ac:dyDescent="0.3">
      <c r="T38" s="50" t="s">
        <v>218</v>
      </c>
      <c r="V38" s="36" t="s">
        <v>506</v>
      </c>
      <c r="AF38" s="36" t="s">
        <v>681</v>
      </c>
      <c r="AJ38" s="36" t="s">
        <v>682</v>
      </c>
    </row>
    <row r="39" spans="20:36" ht="14.4" x14ac:dyDescent="0.3">
      <c r="T39" s="50" t="s">
        <v>219</v>
      </c>
      <c r="V39" s="36" t="s">
        <v>446</v>
      </c>
      <c r="AF39" s="36" t="s">
        <v>682</v>
      </c>
      <c r="AJ39" s="36" t="s">
        <v>683</v>
      </c>
    </row>
    <row r="40" spans="20:36" ht="14.4" x14ac:dyDescent="0.3">
      <c r="T40" s="50" t="s">
        <v>220</v>
      </c>
      <c r="V40" s="36" t="s">
        <v>507</v>
      </c>
      <c r="AF40" s="36" t="s">
        <v>683</v>
      </c>
      <c r="AJ40" s="36" t="s">
        <v>684</v>
      </c>
    </row>
    <row r="41" spans="20:36" ht="14.4" x14ac:dyDescent="0.3">
      <c r="T41" s="50" t="s">
        <v>221</v>
      </c>
      <c r="V41" s="36" t="s">
        <v>447</v>
      </c>
      <c r="AF41" s="36" t="s">
        <v>684</v>
      </c>
      <c r="AJ41" s="36" t="s">
        <v>685</v>
      </c>
    </row>
    <row r="42" spans="20:36" ht="14.4" x14ac:dyDescent="0.3">
      <c r="T42" s="50" t="s">
        <v>222</v>
      </c>
      <c r="V42" s="36" t="s">
        <v>508</v>
      </c>
      <c r="AF42" s="36" t="s">
        <v>685</v>
      </c>
      <c r="AJ42" s="36" t="s">
        <v>686</v>
      </c>
    </row>
    <row r="43" spans="20:36" ht="14.4" x14ac:dyDescent="0.3">
      <c r="T43" s="50" t="s">
        <v>432</v>
      </c>
      <c r="V43" s="36" t="s">
        <v>177</v>
      </c>
      <c r="AF43" s="36" t="s">
        <v>686</v>
      </c>
      <c r="AJ43" s="36" t="s">
        <v>687</v>
      </c>
    </row>
    <row r="44" spans="20:36" ht="14.4" x14ac:dyDescent="0.3">
      <c r="T44" s="50" t="s">
        <v>223</v>
      </c>
      <c r="V44" s="36" t="s">
        <v>509</v>
      </c>
      <c r="AF44" s="36" t="s">
        <v>687</v>
      </c>
      <c r="AJ44" s="36" t="s">
        <v>688</v>
      </c>
    </row>
    <row r="45" spans="20:36" ht="14.4" x14ac:dyDescent="0.3">
      <c r="T45" s="50" t="s">
        <v>224</v>
      </c>
      <c r="V45" s="36" t="s">
        <v>448</v>
      </c>
      <c r="AF45" s="36" t="s">
        <v>688</v>
      </c>
    </row>
    <row r="46" spans="20:36" ht="14.4" x14ac:dyDescent="0.3">
      <c r="T46" s="50" t="s">
        <v>225</v>
      </c>
      <c r="V46" s="36" t="s">
        <v>510</v>
      </c>
    </row>
    <row r="47" spans="20:36" ht="14.4" x14ac:dyDescent="0.3">
      <c r="T47" s="50" t="s">
        <v>226</v>
      </c>
      <c r="V47" s="36" t="s">
        <v>449</v>
      </c>
    </row>
    <row r="48" spans="20:36" ht="14.4" x14ac:dyDescent="0.3">
      <c r="T48" s="50" t="s">
        <v>227</v>
      </c>
      <c r="V48" s="36" t="s">
        <v>511</v>
      </c>
    </row>
    <row r="49" spans="20:22" ht="14.4" x14ac:dyDescent="0.3">
      <c r="T49" s="50" t="s">
        <v>228</v>
      </c>
      <c r="V49" s="36" t="s">
        <v>450</v>
      </c>
    </row>
    <row r="50" spans="20:22" ht="14.4" x14ac:dyDescent="0.3">
      <c r="T50" s="50" t="s">
        <v>435</v>
      </c>
      <c r="V50" s="36" t="s">
        <v>512</v>
      </c>
    </row>
    <row r="51" spans="20:22" ht="14.4" x14ac:dyDescent="0.3">
      <c r="T51" s="50" t="s">
        <v>229</v>
      </c>
      <c r="V51" s="36" t="s">
        <v>451</v>
      </c>
    </row>
    <row r="52" spans="20:22" ht="14.4" x14ac:dyDescent="0.3">
      <c r="T52" s="50" t="s">
        <v>230</v>
      </c>
      <c r="V52" s="36" t="s">
        <v>513</v>
      </c>
    </row>
    <row r="53" spans="20:22" ht="14.4" x14ac:dyDescent="0.3">
      <c r="T53" s="50" t="s">
        <v>231</v>
      </c>
      <c r="V53" s="36" t="s">
        <v>176</v>
      </c>
    </row>
    <row r="54" spans="20:22" ht="14.4" x14ac:dyDescent="0.3">
      <c r="T54" s="50" t="s">
        <v>232</v>
      </c>
      <c r="V54" s="36" t="s">
        <v>514</v>
      </c>
    </row>
    <row r="55" spans="20:22" ht="14.4" x14ac:dyDescent="0.3">
      <c r="T55" s="50" t="s">
        <v>233</v>
      </c>
      <c r="V55" s="36" t="s">
        <v>452</v>
      </c>
    </row>
    <row r="56" spans="20:22" ht="14.4" x14ac:dyDescent="0.3">
      <c r="T56" s="50" t="s">
        <v>234</v>
      </c>
      <c r="V56" s="36" t="s">
        <v>515</v>
      </c>
    </row>
    <row r="57" spans="20:22" ht="14.4" x14ac:dyDescent="0.3">
      <c r="T57" s="50" t="s">
        <v>235</v>
      </c>
      <c r="V57" s="36" t="s">
        <v>453</v>
      </c>
    </row>
    <row r="58" spans="20:22" ht="14.4" x14ac:dyDescent="0.3">
      <c r="T58" s="50" t="s">
        <v>236</v>
      </c>
      <c r="V58" s="36" t="s">
        <v>516</v>
      </c>
    </row>
    <row r="59" spans="20:22" ht="14.4" x14ac:dyDescent="0.3">
      <c r="T59" s="50" t="s">
        <v>237</v>
      </c>
      <c r="V59" s="36" t="s">
        <v>454</v>
      </c>
    </row>
    <row r="60" spans="20:22" ht="14.4" x14ac:dyDescent="0.3">
      <c r="T60" s="50" t="s">
        <v>238</v>
      </c>
      <c r="V60" s="36" t="s">
        <v>517</v>
      </c>
    </row>
    <row r="61" spans="20:22" ht="14.4" x14ac:dyDescent="0.3">
      <c r="T61" s="50" t="s">
        <v>239</v>
      </c>
      <c r="V61" s="36" t="s">
        <v>455</v>
      </c>
    </row>
    <row r="62" spans="20:22" ht="14.4" x14ac:dyDescent="0.3">
      <c r="T62" s="50" t="s">
        <v>240</v>
      </c>
      <c r="V62" s="36" t="s">
        <v>518</v>
      </c>
    </row>
    <row r="63" spans="20:22" ht="14.4" x14ac:dyDescent="0.3">
      <c r="T63" s="50" t="s">
        <v>241</v>
      </c>
      <c r="V63" s="36" t="s">
        <v>456</v>
      </c>
    </row>
    <row r="64" spans="20:22" ht="14.4" x14ac:dyDescent="0.3">
      <c r="T64" s="50" t="s">
        <v>242</v>
      </c>
      <c r="V64" s="36" t="s">
        <v>519</v>
      </c>
    </row>
    <row r="65" spans="20:22" ht="14.4" x14ac:dyDescent="0.3">
      <c r="T65" s="50" t="s">
        <v>243</v>
      </c>
      <c r="V65" s="36" t="s">
        <v>457</v>
      </c>
    </row>
    <row r="66" spans="20:22" ht="14.4" x14ac:dyDescent="0.3">
      <c r="T66" s="50" t="s">
        <v>244</v>
      </c>
      <c r="V66" s="36" t="s">
        <v>520</v>
      </c>
    </row>
    <row r="67" spans="20:22" ht="14.4" x14ac:dyDescent="0.3">
      <c r="T67" s="50" t="s">
        <v>245</v>
      </c>
      <c r="V67" s="36" t="s">
        <v>458</v>
      </c>
    </row>
    <row r="68" spans="20:22" ht="14.4" x14ac:dyDescent="0.3">
      <c r="T68" s="50" t="s">
        <v>246</v>
      </c>
      <c r="V68" s="36" t="s">
        <v>521</v>
      </c>
    </row>
    <row r="69" spans="20:22" ht="14.4" x14ac:dyDescent="0.3">
      <c r="T69" s="50" t="s">
        <v>247</v>
      </c>
      <c r="V69" s="36" t="s">
        <v>522</v>
      </c>
    </row>
    <row r="70" spans="20:22" ht="14.4" x14ac:dyDescent="0.3">
      <c r="T70" s="50" t="s">
        <v>248</v>
      </c>
      <c r="V70" s="36" t="s">
        <v>523</v>
      </c>
    </row>
    <row r="71" spans="20:22" ht="14.4" x14ac:dyDescent="0.3">
      <c r="T71" s="50" t="s">
        <v>249</v>
      </c>
      <c r="V71" s="36" t="s">
        <v>524</v>
      </c>
    </row>
    <row r="72" spans="20:22" ht="14.4" x14ac:dyDescent="0.3">
      <c r="T72" s="50" t="s">
        <v>250</v>
      </c>
      <c r="V72" s="36" t="s">
        <v>525</v>
      </c>
    </row>
    <row r="73" spans="20:22" ht="14.4" x14ac:dyDescent="0.3">
      <c r="T73" s="50" t="s">
        <v>251</v>
      </c>
      <c r="V73" s="36" t="s">
        <v>526</v>
      </c>
    </row>
    <row r="74" spans="20:22" ht="14.4" x14ac:dyDescent="0.3">
      <c r="T74" s="50" t="s">
        <v>252</v>
      </c>
    </row>
    <row r="75" spans="20:22" ht="14.4" x14ac:dyDescent="0.3">
      <c r="T75" s="50" t="s">
        <v>253</v>
      </c>
    </row>
    <row r="76" spans="20:22" ht="14.4" x14ac:dyDescent="0.3">
      <c r="T76" s="50" t="s">
        <v>254</v>
      </c>
    </row>
    <row r="77" spans="20:22" ht="14.4" x14ac:dyDescent="0.3">
      <c r="T77" s="50" t="s">
        <v>255</v>
      </c>
    </row>
    <row r="78" spans="20:22" ht="14.4" x14ac:dyDescent="0.3">
      <c r="T78" s="50" t="s">
        <v>256</v>
      </c>
    </row>
    <row r="79" spans="20:22" ht="14.4" x14ac:dyDescent="0.3">
      <c r="T79" s="50" t="s">
        <v>257</v>
      </c>
    </row>
    <row r="80" spans="20:22" ht="14.4" x14ac:dyDescent="0.3">
      <c r="T80" s="50" t="s">
        <v>258</v>
      </c>
    </row>
    <row r="81" spans="20:20" ht="14.4" x14ac:dyDescent="0.3">
      <c r="T81" s="50" t="s">
        <v>259</v>
      </c>
    </row>
    <row r="82" spans="20:20" ht="14.4" x14ac:dyDescent="0.3">
      <c r="T82" s="50" t="s">
        <v>260</v>
      </c>
    </row>
    <row r="83" spans="20:20" ht="14.4" x14ac:dyDescent="0.3">
      <c r="T83" s="50" t="s">
        <v>261</v>
      </c>
    </row>
    <row r="84" spans="20:20" ht="14.4" x14ac:dyDescent="0.3">
      <c r="T84" s="50" t="s">
        <v>262</v>
      </c>
    </row>
    <row r="85" spans="20:20" ht="14.4" x14ac:dyDescent="0.3">
      <c r="T85" s="50" t="s">
        <v>263</v>
      </c>
    </row>
    <row r="86" spans="20:20" ht="14.4" x14ac:dyDescent="0.3">
      <c r="T86" s="50" t="s">
        <v>264</v>
      </c>
    </row>
    <row r="87" spans="20:20" ht="14.4" x14ac:dyDescent="0.3">
      <c r="T87" s="50" t="s">
        <v>265</v>
      </c>
    </row>
    <row r="88" spans="20:20" ht="14.4" x14ac:dyDescent="0.3">
      <c r="T88" s="50" t="s">
        <v>266</v>
      </c>
    </row>
    <row r="89" spans="20:20" ht="14.4" x14ac:dyDescent="0.3">
      <c r="T89" s="50" t="s">
        <v>267</v>
      </c>
    </row>
    <row r="90" spans="20:20" ht="14.4" x14ac:dyDescent="0.3">
      <c r="T90" s="50" t="s">
        <v>268</v>
      </c>
    </row>
    <row r="91" spans="20:20" ht="14.4" x14ac:dyDescent="0.3">
      <c r="T91" s="50" t="s">
        <v>269</v>
      </c>
    </row>
    <row r="92" spans="20:20" ht="14.4" x14ac:dyDescent="0.3">
      <c r="T92" s="50" t="s">
        <v>270</v>
      </c>
    </row>
    <row r="93" spans="20:20" ht="14.4" x14ac:dyDescent="0.3">
      <c r="T93" s="50" t="s">
        <v>271</v>
      </c>
    </row>
    <row r="94" spans="20:20" ht="14.4" x14ac:dyDescent="0.3">
      <c r="T94" s="50" t="s">
        <v>272</v>
      </c>
    </row>
    <row r="95" spans="20:20" ht="14.4" x14ac:dyDescent="0.3">
      <c r="T95" s="50" t="s">
        <v>273</v>
      </c>
    </row>
    <row r="96" spans="20:20" ht="14.4" x14ac:dyDescent="0.3">
      <c r="T96" s="50" t="s">
        <v>274</v>
      </c>
    </row>
    <row r="97" spans="20:20" ht="14.4" x14ac:dyDescent="0.3">
      <c r="T97" s="50" t="s">
        <v>275</v>
      </c>
    </row>
    <row r="98" spans="20:20" ht="14.4" x14ac:dyDescent="0.3">
      <c r="T98" s="50" t="s">
        <v>276</v>
      </c>
    </row>
    <row r="99" spans="20:20" ht="14.4" x14ac:dyDescent="0.3">
      <c r="T99" s="50" t="s">
        <v>277</v>
      </c>
    </row>
    <row r="100" spans="20:20" ht="14.4" x14ac:dyDescent="0.3">
      <c r="T100" s="50" t="s">
        <v>278</v>
      </c>
    </row>
    <row r="101" spans="20:20" ht="14.4" x14ac:dyDescent="0.3">
      <c r="T101" s="50" t="s">
        <v>279</v>
      </c>
    </row>
    <row r="102" spans="20:20" ht="14.4" x14ac:dyDescent="0.3">
      <c r="T102" s="50" t="s">
        <v>280</v>
      </c>
    </row>
    <row r="103" spans="20:20" ht="14.4" x14ac:dyDescent="0.3">
      <c r="T103" s="50" t="s">
        <v>281</v>
      </c>
    </row>
    <row r="104" spans="20:20" ht="14.4" x14ac:dyDescent="0.3">
      <c r="T104" s="50" t="s">
        <v>282</v>
      </c>
    </row>
    <row r="105" spans="20:20" ht="14.4" x14ac:dyDescent="0.3">
      <c r="T105" s="50" t="s">
        <v>283</v>
      </c>
    </row>
    <row r="106" spans="20:20" ht="14.4" x14ac:dyDescent="0.3">
      <c r="T106" s="50" t="s">
        <v>284</v>
      </c>
    </row>
    <row r="107" spans="20:20" ht="14.4" x14ac:dyDescent="0.3">
      <c r="T107" s="50" t="s">
        <v>434</v>
      </c>
    </row>
    <row r="108" spans="20:20" ht="14.4" x14ac:dyDescent="0.3">
      <c r="T108" s="50" t="s">
        <v>285</v>
      </c>
    </row>
    <row r="109" spans="20:20" ht="14.4" x14ac:dyDescent="0.3">
      <c r="T109" s="50" t="s">
        <v>286</v>
      </c>
    </row>
    <row r="110" spans="20:20" ht="14.4" x14ac:dyDescent="0.3">
      <c r="T110" s="50" t="s">
        <v>287</v>
      </c>
    </row>
    <row r="111" spans="20:20" ht="14.4" x14ac:dyDescent="0.3">
      <c r="T111" s="50" t="s">
        <v>288</v>
      </c>
    </row>
    <row r="112" spans="20:20" ht="14.4" x14ac:dyDescent="0.3">
      <c r="T112" s="50" t="s">
        <v>289</v>
      </c>
    </row>
    <row r="113" spans="20:20" ht="14.4" x14ac:dyDescent="0.3">
      <c r="T113" s="50" t="s">
        <v>290</v>
      </c>
    </row>
    <row r="114" spans="20:20" ht="14.4" x14ac:dyDescent="0.3">
      <c r="T114" s="50" t="s">
        <v>291</v>
      </c>
    </row>
    <row r="115" spans="20:20" ht="14.4" x14ac:dyDescent="0.3">
      <c r="T115" s="50" t="s">
        <v>426</v>
      </c>
    </row>
    <row r="116" spans="20:20" ht="14.4" x14ac:dyDescent="0.3">
      <c r="T116" s="50" t="s">
        <v>292</v>
      </c>
    </row>
    <row r="117" spans="20:20" ht="14.4" x14ac:dyDescent="0.3">
      <c r="T117" s="50" t="s">
        <v>293</v>
      </c>
    </row>
    <row r="118" spans="20:20" ht="14.4" x14ac:dyDescent="0.3">
      <c r="T118" s="50" t="s">
        <v>294</v>
      </c>
    </row>
    <row r="119" spans="20:20" ht="14.4" x14ac:dyDescent="0.3">
      <c r="T119" s="50" t="s">
        <v>295</v>
      </c>
    </row>
    <row r="120" spans="20:20" ht="14.4" x14ac:dyDescent="0.3">
      <c r="T120" s="50" t="s">
        <v>296</v>
      </c>
    </row>
    <row r="121" spans="20:20" ht="14.4" x14ac:dyDescent="0.3">
      <c r="T121" s="50" t="s">
        <v>297</v>
      </c>
    </row>
    <row r="122" spans="20:20" ht="14.4" x14ac:dyDescent="0.3">
      <c r="T122" s="50" t="s">
        <v>298</v>
      </c>
    </row>
    <row r="123" spans="20:20" ht="14.4" x14ac:dyDescent="0.3">
      <c r="T123" s="50" t="s">
        <v>299</v>
      </c>
    </row>
    <row r="124" spans="20:20" ht="14.4" x14ac:dyDescent="0.3">
      <c r="T124" s="50" t="s">
        <v>300</v>
      </c>
    </row>
    <row r="125" spans="20:20" ht="14.4" x14ac:dyDescent="0.3">
      <c r="T125" s="50" t="s">
        <v>301</v>
      </c>
    </row>
    <row r="126" spans="20:20" ht="14.4" x14ac:dyDescent="0.3">
      <c r="T126" s="50" t="s">
        <v>302</v>
      </c>
    </row>
    <row r="127" spans="20:20" ht="14.4" x14ac:dyDescent="0.3">
      <c r="T127" s="50" t="s">
        <v>303</v>
      </c>
    </row>
    <row r="128" spans="20:20" ht="14.4" x14ac:dyDescent="0.3">
      <c r="T128" s="50" t="s">
        <v>304</v>
      </c>
    </row>
    <row r="129" spans="20:20" ht="14.4" x14ac:dyDescent="0.3">
      <c r="T129" s="50" t="s">
        <v>305</v>
      </c>
    </row>
    <row r="130" spans="20:20" ht="14.4" x14ac:dyDescent="0.3">
      <c r="T130" s="50" t="s">
        <v>306</v>
      </c>
    </row>
    <row r="131" spans="20:20" ht="14.4" x14ac:dyDescent="0.3">
      <c r="T131" s="50" t="s">
        <v>307</v>
      </c>
    </row>
    <row r="132" spans="20:20" ht="14.4" x14ac:dyDescent="0.3">
      <c r="T132" s="50" t="s">
        <v>308</v>
      </c>
    </row>
    <row r="133" spans="20:20" ht="14.4" x14ac:dyDescent="0.3">
      <c r="T133" s="50" t="s">
        <v>309</v>
      </c>
    </row>
    <row r="134" spans="20:20" ht="28.8" x14ac:dyDescent="0.3">
      <c r="T134" s="50" t="s">
        <v>310</v>
      </c>
    </row>
    <row r="135" spans="20:20" ht="14.4" x14ac:dyDescent="0.3">
      <c r="T135" s="50" t="s">
        <v>311</v>
      </c>
    </row>
    <row r="136" spans="20:20" ht="14.4" x14ac:dyDescent="0.3">
      <c r="T136" s="50" t="s">
        <v>312</v>
      </c>
    </row>
    <row r="137" spans="20:20" ht="14.4" x14ac:dyDescent="0.3">
      <c r="T137" s="50" t="s">
        <v>313</v>
      </c>
    </row>
    <row r="138" spans="20:20" ht="14.4" x14ac:dyDescent="0.3">
      <c r="T138" s="50" t="s">
        <v>314</v>
      </c>
    </row>
    <row r="139" spans="20:20" ht="14.4" x14ac:dyDescent="0.3">
      <c r="T139" s="50" t="s">
        <v>315</v>
      </c>
    </row>
    <row r="140" spans="20:20" ht="14.4" x14ac:dyDescent="0.3">
      <c r="T140" s="50" t="s">
        <v>316</v>
      </c>
    </row>
    <row r="141" spans="20:20" ht="14.4" x14ac:dyDescent="0.3">
      <c r="T141" s="50" t="s">
        <v>425</v>
      </c>
    </row>
    <row r="142" spans="20:20" ht="14.4" x14ac:dyDescent="0.3">
      <c r="T142" s="50" t="s">
        <v>317</v>
      </c>
    </row>
    <row r="143" spans="20:20" ht="14.4" x14ac:dyDescent="0.3">
      <c r="T143" s="50" t="s">
        <v>318</v>
      </c>
    </row>
    <row r="144" spans="20:20" ht="14.4" x14ac:dyDescent="0.3">
      <c r="T144" s="50" t="s">
        <v>319</v>
      </c>
    </row>
    <row r="145" spans="20:20" ht="14.4" x14ac:dyDescent="0.3">
      <c r="T145" s="50" t="s">
        <v>320</v>
      </c>
    </row>
    <row r="146" spans="20:20" ht="14.4" x14ac:dyDescent="0.3">
      <c r="T146" s="50" t="s">
        <v>321</v>
      </c>
    </row>
    <row r="147" spans="20:20" ht="14.4" x14ac:dyDescent="0.3">
      <c r="T147" s="50" t="s">
        <v>322</v>
      </c>
    </row>
    <row r="148" spans="20:20" ht="14.4" x14ac:dyDescent="0.3">
      <c r="T148" s="50" t="s">
        <v>323</v>
      </c>
    </row>
    <row r="149" spans="20:20" ht="14.4" x14ac:dyDescent="0.3">
      <c r="T149" s="50" t="s">
        <v>427</v>
      </c>
    </row>
    <row r="150" spans="20:20" ht="14.4" x14ac:dyDescent="0.3">
      <c r="T150" s="50" t="s">
        <v>324</v>
      </c>
    </row>
    <row r="151" spans="20:20" ht="14.4" x14ac:dyDescent="0.3">
      <c r="T151" s="50" t="s">
        <v>325</v>
      </c>
    </row>
    <row r="152" spans="20:20" ht="14.4" x14ac:dyDescent="0.3">
      <c r="T152" s="50" t="s">
        <v>326</v>
      </c>
    </row>
    <row r="153" spans="20:20" ht="14.4" x14ac:dyDescent="0.3">
      <c r="T153" s="50" t="s">
        <v>327</v>
      </c>
    </row>
    <row r="154" spans="20:20" ht="14.4" x14ac:dyDescent="0.3">
      <c r="T154" s="50" t="s">
        <v>328</v>
      </c>
    </row>
    <row r="155" spans="20:20" ht="14.4" x14ac:dyDescent="0.3">
      <c r="T155" s="50" t="s">
        <v>329</v>
      </c>
    </row>
    <row r="156" spans="20:20" ht="14.4" x14ac:dyDescent="0.3">
      <c r="T156" s="50" t="s">
        <v>330</v>
      </c>
    </row>
    <row r="157" spans="20:20" ht="14.4" x14ac:dyDescent="0.3">
      <c r="T157" s="50" t="s">
        <v>331</v>
      </c>
    </row>
    <row r="158" spans="20:20" ht="14.4" x14ac:dyDescent="0.3">
      <c r="T158" s="50" t="s">
        <v>332</v>
      </c>
    </row>
    <row r="159" spans="20:20" ht="14.4" x14ac:dyDescent="0.3">
      <c r="T159" s="50" t="s">
        <v>333</v>
      </c>
    </row>
    <row r="160" spans="20:20" ht="14.4" x14ac:dyDescent="0.3">
      <c r="T160" s="50" t="s">
        <v>334</v>
      </c>
    </row>
    <row r="161" spans="20:20" ht="14.4" x14ac:dyDescent="0.3">
      <c r="T161" s="50" t="s">
        <v>335</v>
      </c>
    </row>
    <row r="162" spans="20:20" ht="14.4" x14ac:dyDescent="0.3">
      <c r="T162" s="50" t="s">
        <v>336</v>
      </c>
    </row>
    <row r="163" spans="20:20" ht="14.4" x14ac:dyDescent="0.3">
      <c r="T163" s="50" t="s">
        <v>337</v>
      </c>
    </row>
    <row r="164" spans="20:20" ht="14.4" x14ac:dyDescent="0.3">
      <c r="T164" s="50" t="s">
        <v>430</v>
      </c>
    </row>
    <row r="165" spans="20:20" ht="14.4" x14ac:dyDescent="0.3">
      <c r="T165" s="50" t="s">
        <v>338</v>
      </c>
    </row>
    <row r="166" spans="20:20" ht="14.4" x14ac:dyDescent="0.3">
      <c r="T166" s="50" t="s">
        <v>339</v>
      </c>
    </row>
    <row r="167" spans="20:20" ht="14.4" x14ac:dyDescent="0.3">
      <c r="T167" s="50" t="s">
        <v>340</v>
      </c>
    </row>
    <row r="168" spans="20:20" ht="14.4" x14ac:dyDescent="0.3">
      <c r="T168" s="50" t="s">
        <v>341</v>
      </c>
    </row>
    <row r="169" spans="20:20" ht="14.4" x14ac:dyDescent="0.3">
      <c r="T169" s="50" t="s">
        <v>342</v>
      </c>
    </row>
    <row r="170" spans="20:20" ht="14.4" x14ac:dyDescent="0.3">
      <c r="T170" s="50" t="s">
        <v>343</v>
      </c>
    </row>
    <row r="171" spans="20:20" ht="14.4" x14ac:dyDescent="0.3">
      <c r="T171" s="50" t="s">
        <v>344</v>
      </c>
    </row>
    <row r="172" spans="20:20" ht="14.4" x14ac:dyDescent="0.3">
      <c r="T172" s="50" t="s">
        <v>345</v>
      </c>
    </row>
    <row r="173" spans="20:20" ht="14.4" x14ac:dyDescent="0.3">
      <c r="T173" s="50" t="s">
        <v>346</v>
      </c>
    </row>
    <row r="174" spans="20:20" ht="14.4" x14ac:dyDescent="0.3">
      <c r="T174" s="50" t="s">
        <v>347</v>
      </c>
    </row>
    <row r="175" spans="20:20" ht="14.4" x14ac:dyDescent="0.3">
      <c r="T175" s="50" t="s">
        <v>348</v>
      </c>
    </row>
    <row r="176" spans="20:20" ht="14.4" x14ac:dyDescent="0.3">
      <c r="T176" s="50" t="s">
        <v>349</v>
      </c>
    </row>
    <row r="177" spans="20:20" ht="14.4" x14ac:dyDescent="0.3">
      <c r="T177" s="50" t="s">
        <v>350</v>
      </c>
    </row>
    <row r="178" spans="20:20" ht="14.4" x14ac:dyDescent="0.3">
      <c r="T178" s="50" t="s">
        <v>351</v>
      </c>
    </row>
    <row r="179" spans="20:20" ht="14.4" x14ac:dyDescent="0.3">
      <c r="T179" s="50" t="s">
        <v>352</v>
      </c>
    </row>
    <row r="180" spans="20:20" ht="14.4" x14ac:dyDescent="0.3">
      <c r="T180" s="50" t="s">
        <v>353</v>
      </c>
    </row>
    <row r="181" spans="20:20" ht="14.4" x14ac:dyDescent="0.3">
      <c r="T181" s="50" t="s">
        <v>354</v>
      </c>
    </row>
    <row r="182" spans="20:20" ht="14.4" x14ac:dyDescent="0.3">
      <c r="T182" s="50" t="s">
        <v>355</v>
      </c>
    </row>
    <row r="183" spans="20:20" ht="14.4" x14ac:dyDescent="0.3">
      <c r="T183" s="50" t="s">
        <v>356</v>
      </c>
    </row>
    <row r="184" spans="20:20" ht="14.4" x14ac:dyDescent="0.3">
      <c r="T184" s="50" t="s">
        <v>357</v>
      </c>
    </row>
    <row r="185" spans="20:20" ht="14.4" x14ac:dyDescent="0.3">
      <c r="T185" s="50" t="s">
        <v>358</v>
      </c>
    </row>
    <row r="186" spans="20:20" ht="14.4" x14ac:dyDescent="0.3">
      <c r="T186" s="50" t="s">
        <v>359</v>
      </c>
    </row>
    <row r="187" spans="20:20" ht="14.4" x14ac:dyDescent="0.3">
      <c r="T187" s="50" t="s">
        <v>360</v>
      </c>
    </row>
    <row r="188" spans="20:20" ht="14.4" x14ac:dyDescent="0.3">
      <c r="T188" s="50" t="s">
        <v>361</v>
      </c>
    </row>
    <row r="189" spans="20:20" ht="14.4" x14ac:dyDescent="0.3">
      <c r="T189" s="50" t="s">
        <v>362</v>
      </c>
    </row>
    <row r="190" spans="20:20" ht="14.4" x14ac:dyDescent="0.3">
      <c r="T190" s="50" t="s">
        <v>363</v>
      </c>
    </row>
    <row r="191" spans="20:20" ht="14.4" x14ac:dyDescent="0.3">
      <c r="T191" s="50" t="s">
        <v>364</v>
      </c>
    </row>
    <row r="192" spans="20:20" ht="14.4" x14ac:dyDescent="0.3">
      <c r="T192" s="50" t="s">
        <v>365</v>
      </c>
    </row>
    <row r="193" spans="20:20" ht="14.4" x14ac:dyDescent="0.3">
      <c r="T193" s="50" t="s">
        <v>366</v>
      </c>
    </row>
    <row r="194" spans="20:20" ht="14.4" x14ac:dyDescent="0.3">
      <c r="T194" s="50" t="s">
        <v>367</v>
      </c>
    </row>
    <row r="195" spans="20:20" ht="14.4" x14ac:dyDescent="0.3">
      <c r="T195" s="50" t="s">
        <v>368</v>
      </c>
    </row>
    <row r="196" spans="20:20" ht="14.4" x14ac:dyDescent="0.3">
      <c r="T196" s="50" t="s">
        <v>369</v>
      </c>
    </row>
    <row r="197" spans="20:20" ht="14.4" x14ac:dyDescent="0.3">
      <c r="T197" s="50" t="s">
        <v>370</v>
      </c>
    </row>
    <row r="198" spans="20:20" ht="14.4" x14ac:dyDescent="0.3">
      <c r="T198" s="50" t="s">
        <v>371</v>
      </c>
    </row>
    <row r="199" spans="20:20" ht="14.4" x14ac:dyDescent="0.3">
      <c r="T199" s="50" t="s">
        <v>372</v>
      </c>
    </row>
    <row r="200" spans="20:20" ht="14.4" x14ac:dyDescent="0.3">
      <c r="T200" s="50" t="s">
        <v>373</v>
      </c>
    </row>
    <row r="201" spans="20:20" ht="14.4" x14ac:dyDescent="0.3">
      <c r="T201" s="50" t="s">
        <v>374</v>
      </c>
    </row>
    <row r="202" spans="20:20" ht="14.4" x14ac:dyDescent="0.3">
      <c r="T202" s="50" t="s">
        <v>375</v>
      </c>
    </row>
    <row r="203" spans="20:20" ht="14.4" x14ac:dyDescent="0.3">
      <c r="T203" s="50" t="s">
        <v>376</v>
      </c>
    </row>
    <row r="204" spans="20:20" ht="14.4" x14ac:dyDescent="0.3">
      <c r="T204" s="50" t="s">
        <v>377</v>
      </c>
    </row>
    <row r="205" spans="20:20" ht="14.4" x14ac:dyDescent="0.3">
      <c r="T205" s="50" t="s">
        <v>378</v>
      </c>
    </row>
    <row r="206" spans="20:20" ht="14.4" x14ac:dyDescent="0.3">
      <c r="T206" s="50" t="s">
        <v>379</v>
      </c>
    </row>
    <row r="207" spans="20:20" ht="14.4" x14ac:dyDescent="0.3">
      <c r="T207" s="50" t="s">
        <v>380</v>
      </c>
    </row>
    <row r="208" spans="20:20" ht="14.4" x14ac:dyDescent="0.3">
      <c r="T208" s="50" t="s">
        <v>381</v>
      </c>
    </row>
    <row r="209" spans="20:20" ht="28.8" x14ac:dyDescent="0.3">
      <c r="T209" s="50" t="s">
        <v>382</v>
      </c>
    </row>
    <row r="210" spans="20:20" ht="14.4" x14ac:dyDescent="0.3">
      <c r="T210" s="50" t="s">
        <v>383</v>
      </c>
    </row>
    <row r="211" spans="20:20" ht="14.4" x14ac:dyDescent="0.3">
      <c r="T211" s="50" t="s">
        <v>384</v>
      </c>
    </row>
    <row r="212" spans="20:20" ht="14.4" x14ac:dyDescent="0.3">
      <c r="T212" s="50" t="s">
        <v>385</v>
      </c>
    </row>
    <row r="213" spans="20:20" ht="14.4" x14ac:dyDescent="0.3">
      <c r="T213" s="50" t="s">
        <v>386</v>
      </c>
    </row>
    <row r="214" spans="20:20" ht="14.4" x14ac:dyDescent="0.3">
      <c r="T214" s="50" t="s">
        <v>387</v>
      </c>
    </row>
    <row r="215" spans="20:20" ht="14.4" x14ac:dyDescent="0.3">
      <c r="T215" s="50" t="s">
        <v>388</v>
      </c>
    </row>
    <row r="216" spans="20:20" ht="14.4" x14ac:dyDescent="0.3">
      <c r="T216" s="50" t="s">
        <v>389</v>
      </c>
    </row>
    <row r="217" spans="20:20" ht="14.4" x14ac:dyDescent="0.3">
      <c r="T217" s="50" t="s">
        <v>390</v>
      </c>
    </row>
    <row r="218" spans="20:20" ht="14.4" x14ac:dyDescent="0.3">
      <c r="T218" s="50" t="s">
        <v>391</v>
      </c>
    </row>
    <row r="219" spans="20:20" ht="14.4" x14ac:dyDescent="0.3">
      <c r="T219" s="50" t="s">
        <v>392</v>
      </c>
    </row>
    <row r="220" spans="20:20" ht="14.4" x14ac:dyDescent="0.3">
      <c r="T220" s="50" t="s">
        <v>393</v>
      </c>
    </row>
    <row r="221" spans="20:20" ht="14.4" x14ac:dyDescent="0.3">
      <c r="T221" s="50" t="s">
        <v>394</v>
      </c>
    </row>
    <row r="222" spans="20:20" ht="14.4" x14ac:dyDescent="0.3">
      <c r="T222" s="50" t="s">
        <v>395</v>
      </c>
    </row>
    <row r="223" spans="20:20" ht="14.4" x14ac:dyDescent="0.3">
      <c r="T223" s="50" t="s">
        <v>433</v>
      </c>
    </row>
    <row r="224" spans="20:20" ht="14.4" x14ac:dyDescent="0.3">
      <c r="T224" s="50" t="s">
        <v>396</v>
      </c>
    </row>
    <row r="225" spans="20:20" ht="14.4" x14ac:dyDescent="0.3">
      <c r="T225" s="50" t="s">
        <v>397</v>
      </c>
    </row>
    <row r="226" spans="20:20" ht="14.4" x14ac:dyDescent="0.3">
      <c r="T226" s="50" t="s">
        <v>398</v>
      </c>
    </row>
    <row r="227" spans="20:20" ht="14.4" x14ac:dyDescent="0.3">
      <c r="T227" s="50" t="s">
        <v>399</v>
      </c>
    </row>
    <row r="228" spans="20:20" ht="14.4" x14ac:dyDescent="0.3">
      <c r="T228" s="50" t="s">
        <v>400</v>
      </c>
    </row>
    <row r="229" spans="20:20" ht="14.4" x14ac:dyDescent="0.3">
      <c r="T229" s="50" t="s">
        <v>401</v>
      </c>
    </row>
    <row r="230" spans="20:20" ht="14.4" x14ac:dyDescent="0.3">
      <c r="T230" s="50" t="s">
        <v>402</v>
      </c>
    </row>
    <row r="231" spans="20:20" ht="14.4" x14ac:dyDescent="0.3">
      <c r="T231" s="50" t="s">
        <v>403</v>
      </c>
    </row>
    <row r="232" spans="20:20" ht="14.4" x14ac:dyDescent="0.3">
      <c r="T232" s="50" t="s">
        <v>404</v>
      </c>
    </row>
    <row r="233" spans="20:20" ht="14.4" x14ac:dyDescent="0.3">
      <c r="T233" s="50" t="s">
        <v>405</v>
      </c>
    </row>
    <row r="234" spans="20:20" ht="14.4" x14ac:dyDescent="0.3">
      <c r="T234" s="50" t="s">
        <v>406</v>
      </c>
    </row>
    <row r="235" spans="20:20" ht="14.4" x14ac:dyDescent="0.3">
      <c r="T235" s="50" t="s">
        <v>407</v>
      </c>
    </row>
    <row r="236" spans="20:20" ht="14.4" x14ac:dyDescent="0.3">
      <c r="T236" s="50" t="s">
        <v>408</v>
      </c>
    </row>
    <row r="237" spans="20:20" ht="14.4" x14ac:dyDescent="0.3">
      <c r="T237" s="50" t="s">
        <v>409</v>
      </c>
    </row>
    <row r="238" spans="20:20" ht="14.4" x14ac:dyDescent="0.3">
      <c r="T238" s="50" t="s">
        <v>410</v>
      </c>
    </row>
    <row r="239" spans="20:20" ht="14.4" x14ac:dyDescent="0.3">
      <c r="T239" s="50" t="s">
        <v>431</v>
      </c>
    </row>
    <row r="240" spans="20:20" ht="14.4" x14ac:dyDescent="0.3">
      <c r="T240" s="50" t="s">
        <v>411</v>
      </c>
    </row>
    <row r="241" spans="20:20" ht="14.4" x14ac:dyDescent="0.3">
      <c r="T241" s="50" t="s">
        <v>412</v>
      </c>
    </row>
    <row r="242" spans="20:20" ht="14.4" x14ac:dyDescent="0.3">
      <c r="T242" s="50" t="s">
        <v>413</v>
      </c>
    </row>
    <row r="243" spans="20:20" ht="14.4" x14ac:dyDescent="0.3">
      <c r="T243" s="50" t="s">
        <v>414</v>
      </c>
    </row>
    <row r="244" spans="20:20" ht="14.4" x14ac:dyDescent="0.3">
      <c r="T244" s="50" t="s">
        <v>415</v>
      </c>
    </row>
    <row r="245" spans="20:20" ht="14.4" x14ac:dyDescent="0.3">
      <c r="T245" s="50" t="s">
        <v>416</v>
      </c>
    </row>
    <row r="246" spans="20:20" ht="14.4" x14ac:dyDescent="0.3">
      <c r="T246" s="50" t="s">
        <v>417</v>
      </c>
    </row>
    <row r="247" spans="20:20" ht="14.4" x14ac:dyDescent="0.3">
      <c r="T247" s="50" t="s">
        <v>418</v>
      </c>
    </row>
    <row r="248" spans="20:20" ht="14.4" x14ac:dyDescent="0.3">
      <c r="T248" s="50" t="s">
        <v>428</v>
      </c>
    </row>
    <row r="249" spans="20:20" ht="14.4" x14ac:dyDescent="0.3">
      <c r="T249" s="50" t="s">
        <v>419</v>
      </c>
    </row>
    <row r="250" spans="20:20" ht="14.4" x14ac:dyDescent="0.3">
      <c r="T250" s="50" t="s">
        <v>420</v>
      </c>
    </row>
    <row r="251" spans="20:20" ht="14.4" x14ac:dyDescent="0.3">
      <c r="T251" s="50" t="s">
        <v>421</v>
      </c>
    </row>
    <row r="252" spans="20:20" ht="14.4" x14ac:dyDescent="0.3">
      <c r="T252" s="50" t="s">
        <v>422</v>
      </c>
    </row>
    <row r="253" spans="20:20" ht="14.4" x14ac:dyDescent="0.3">
      <c r="T253" s="50" t="s">
        <v>423</v>
      </c>
    </row>
  </sheetData>
  <pageMargins left="0.7" right="0.7" top="0.75" bottom="0.75" header="0.3" footer="0.3"/>
  <tableParts count="19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44209E0B91A545BAA330FC54A303E1" ma:contentTypeVersion="10" ma:contentTypeDescription="Create a new document." ma:contentTypeScope="" ma:versionID="73010ebfa32aaf0fbe8020e5b132cce8">
  <xsd:schema xmlns:xsd="http://www.w3.org/2001/XMLSchema" xmlns:xs="http://www.w3.org/2001/XMLSchema" xmlns:p="http://schemas.microsoft.com/office/2006/metadata/properties" xmlns:ns3="05a76d74-77d4-4f40-bbed-ae17969ddd24" xmlns:ns4="477ba11b-844e-4659-9ff9-14303015b2fa" targetNamespace="http://schemas.microsoft.com/office/2006/metadata/properties" ma:root="true" ma:fieldsID="0b9536ab70d02dad45b308acf4a71cdc" ns3:_="" ns4:_="">
    <xsd:import namespace="05a76d74-77d4-4f40-bbed-ae17969ddd24"/>
    <xsd:import namespace="477ba11b-844e-4659-9ff9-14303015b2f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EventHashCode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a76d74-77d4-4f40-bbed-ae17969ddd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ba11b-844e-4659-9ff9-14303015b2f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9D4A85-9D65-4206-A7AB-B22A26777C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3DA41F-D11D-4A82-A2EA-5A0C0159EFD4}">
  <ds:schemaRefs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05a76d74-77d4-4f40-bbed-ae17969ddd24"/>
    <ds:schemaRef ds:uri="http://schemas.openxmlformats.org/package/2006/metadata/core-properties"/>
    <ds:schemaRef ds:uri="477ba11b-844e-4659-9ff9-14303015b2fa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F6ECC8C-35B3-44CD-B519-208ADE8809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a76d74-77d4-4f40-bbed-ae17969ddd24"/>
    <ds:schemaRef ds:uri="477ba11b-844e-4659-9ff9-14303015b2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19</vt:i4>
      </vt:variant>
    </vt:vector>
  </HeadingPairs>
  <TitlesOfParts>
    <vt:vector size="21" baseType="lpstr">
      <vt:lpstr>COST SHEET</vt:lpstr>
      <vt:lpstr>DATA</vt:lpstr>
      <vt:lpstr>ACCESSORY</vt:lpstr>
      <vt:lpstr>Bangle</vt:lpstr>
      <vt:lpstr>BRACELET_ANKLET</vt:lpstr>
      <vt:lpstr>BUYER</vt:lpstr>
      <vt:lpstr>CASTING</vt:lpstr>
      <vt:lpstr>CHAIN</vt:lpstr>
      <vt:lpstr>CHAINSTYLE</vt:lpstr>
      <vt:lpstr>CHNTYPE</vt:lpstr>
      <vt:lpstr>COO_LONG_LIST</vt:lpstr>
      <vt:lpstr>COO_SHORT_LIST</vt:lpstr>
      <vt:lpstr>EARRING</vt:lpstr>
      <vt:lpstr>EARSTYLE</vt:lpstr>
      <vt:lpstr>METAL</vt:lpstr>
      <vt:lpstr>PENDANT</vt:lpstr>
      <vt:lpstr>Ring</vt:lpstr>
      <vt:lpstr>S.O_COLOURS</vt:lpstr>
      <vt:lpstr>SETTINGDESC</vt:lpstr>
      <vt:lpstr>STONESHAPE</vt:lpstr>
      <vt:lpstr>STONETYPE</vt:lpstr>
    </vt:vector>
  </TitlesOfParts>
  <Company>Michael Hill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Tester</dc:creator>
  <cp:lastModifiedBy>Vinayak Sutar</cp:lastModifiedBy>
  <cp:lastPrinted>2019-08-01T03:28:27Z</cp:lastPrinted>
  <dcterms:created xsi:type="dcterms:W3CDTF">2009-02-11T09:17:08Z</dcterms:created>
  <dcterms:modified xsi:type="dcterms:W3CDTF">2026-10-05T12:39:05Z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0x0101009244209E0B91A545BAA330FC54A303E1</vt:lpwstr>
  </property>
</Properties>
</file>